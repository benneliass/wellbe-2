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ff970b421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50b4248b8c641f4"/>
    <x:sheet xmlns:r="http://schemas.openxmlformats.org/officeDocument/2006/relationships" name="Package Notes" sheetId="2" r:id="R2891702ab7914a0b"/>
    <x:sheet xmlns:r="http://schemas.openxmlformats.org/officeDocument/2006/relationships" name="Principles" sheetId="3" r:id="R22edeca7c4b14d4c"/>
    <x:sheet xmlns:r="http://schemas.openxmlformats.org/officeDocument/2006/relationships" name="Patient Workflow" sheetId="4" r:id="R71c632a07e21413f"/>
    <x:sheet xmlns:r="http://schemas.openxmlformats.org/officeDocument/2006/relationships" name="Doctor Workflow" sheetId="5" r:id="Red35f3afe4b349fb"/>
    <x:sheet xmlns:r="http://schemas.openxmlformats.org/officeDocument/2006/relationships" name="Data Schema" sheetId="6" r:id="R43e8b7dac036452b"/>
    <x:sheet xmlns:r="http://schemas.openxmlformats.org/officeDocument/2006/relationships" name="Black Zone Map" sheetId="7" r:id="R15c5bfb0161643cc"/>
    <x:sheet xmlns:r="http://schemas.openxmlformats.org/officeDocument/2006/relationships" name="Feature Backlog" sheetId="8" r:id="R9f13387702b64aa5"/>
    <x:sheet xmlns:r="http://schemas.openxmlformats.org/officeDocument/2006/relationships" name="Product Insights" sheetId="9" r:id="Rbbf5e0a991024495"/>
    <x:sheet xmlns:r="http://schemas.openxmlformats.org/officeDocument/2006/relationships" name="Safety Risks" sheetId="10" r:id="R0c09fc0d88bb4281"/>
    <x:sheet xmlns:r="http://schemas.openxmlformats.org/officeDocument/2006/relationships" name="Region Adapt" sheetId="11" r:id="Rd4cbe684d3334daa"/>
    <x:sheet xmlns:r="http://schemas.openxmlformats.org/officeDocument/2006/relationships" name="Living Insights" sheetId="12" r:id="R38f3ae10887a4e52"/>
    <x:sheet xmlns:r="http://schemas.openxmlformats.org/officeDocument/2006/relationships" name="Source Log" sheetId="13" r:id="R65e1961af6bf4024"/>
    <x:sheet xmlns:r="http://schemas.openxmlformats.org/officeDocument/2006/relationships" name="Evidence Index" sheetId="14" r:id="Ra55b5e293ce54f89"/>
    <x:sheet xmlns:r="http://schemas.openxmlformats.org/officeDocument/2006/relationships" name="Quote Bank" sheetId="15" r:id="R1719ed904d6e4c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054247af74479" /><Relationship Type="http://schemas.openxmlformats.org/officeDocument/2006/relationships/theme" Target="/xl/theme/theme1.xml" Id="Rbcbd064e095740ac" /><Relationship Type="http://schemas.openxmlformats.org/officeDocument/2006/relationships/sharedStrings" Target="/xl/sharedStrings.xml" Id="Raf93fa7f7af748a7" /><Relationship Type="http://schemas.openxmlformats.org/officeDocument/2006/relationships/worksheet" Target="/xl/worksheets/sheet1.xml" Id="R050b4248b8c641f4" /><Relationship Type="http://schemas.openxmlformats.org/officeDocument/2006/relationships/worksheet" Target="/xl/worksheets/sheet2.xml" Id="R2891702ab7914a0b" /><Relationship Type="http://schemas.openxmlformats.org/officeDocument/2006/relationships/worksheet" Target="/xl/worksheets/sheet3.xml" Id="R22edeca7c4b14d4c" /><Relationship Type="http://schemas.openxmlformats.org/officeDocument/2006/relationships/worksheet" Target="/xl/worksheets/sheet4.xml" Id="R71c632a07e21413f" /><Relationship Type="http://schemas.openxmlformats.org/officeDocument/2006/relationships/worksheet" Target="/xl/worksheets/sheet5.xml" Id="Red35f3afe4b349fb" /><Relationship Type="http://schemas.openxmlformats.org/officeDocument/2006/relationships/worksheet" Target="/xl/worksheets/sheet6.xml" Id="R43e8b7dac036452b" /><Relationship Type="http://schemas.openxmlformats.org/officeDocument/2006/relationships/worksheet" Target="/xl/worksheets/sheet7.xml" Id="R15c5bfb0161643cc" /><Relationship Type="http://schemas.openxmlformats.org/officeDocument/2006/relationships/worksheet" Target="/xl/worksheets/sheet8.xml" Id="R9f13387702b64aa5" /><Relationship Type="http://schemas.openxmlformats.org/officeDocument/2006/relationships/worksheet" Target="/xl/worksheets/sheet9.xml" Id="Rbbf5e0a991024495" /><Relationship Type="http://schemas.openxmlformats.org/officeDocument/2006/relationships/worksheet" Target="/xl/worksheets/sheet10.xml" Id="R0c09fc0d88bb4281" /><Relationship Type="http://schemas.openxmlformats.org/officeDocument/2006/relationships/worksheet" Target="/xl/worksheets/sheet11.xml" Id="Rd4cbe684d3334daa" /><Relationship Type="http://schemas.openxmlformats.org/officeDocument/2006/relationships/worksheet" Target="/xl/worksheets/sheet12.xml" Id="R38f3ae10887a4e52" /><Relationship Type="http://schemas.openxmlformats.org/officeDocument/2006/relationships/worksheet" Target="/xl/worksheets/sheet13.xml" Id="R65e1961af6bf4024" /><Relationship Type="http://schemas.openxmlformats.org/officeDocument/2006/relationships/worksheet" Target="/xl/worksheets/sheet14.xml" Id="Ra55b5e293ce54f89" /><Relationship Type="http://schemas.openxmlformats.org/officeDocument/2006/relationships/worksheet" Target="/xl/worksheets/sheet15.xml" Id="R1719ed904d6e4c83" /></Relationships>
</file>

<file path=xl/tables/table1.xml><?xml version="1.0" encoding="utf-8"?>
<x:table xmlns:x="http://schemas.openxmlformats.org/spreadsheetml/2006/main" id="1" name="PackageNotesTable" displayName="PackageNotesTable" ref="A1:M6" headerRowCount="1">
  <x:tableColumns count="13">
    <x:tableColumn id="1" name="package_key"/>
    <x:tableColumn id="2" name="package_filename"/>
    <x:tableColumn id="3" name="package_topic"/>
    <x:tableColumn id="4" name="extracted_base_path"/>
    <x:tableColumn id="5" name="file_count_after_extraction"/>
    <x:tableColumn id="6" name="source_count"/>
    <x:tableColumn id="7" name="evidence_items_count"/>
    <x:tableColumn id="8" name="cases_count"/>
    <x:tableColumn id="9" name="quotes_count"/>
    <x:tableColumn id="10" name="reviews_or_complaints_count"/>
    <x:tableColumn id="11" name="statistics_or_metrics_count"/>
    <x:tableColumn id="12" name="readability_status"/>
    <x:tableColumn id="13" name="limitations_summary"/>
  </x:tableColumns>
  <x:tableStyleInfo name="TableStyleMedium2" showRowStripes="1"/>
</x:table>
</file>

<file path=xl/tables/table2.xml><?xml version="1.0" encoding="utf-8"?>
<x:table xmlns:x="http://schemas.openxmlformats.org/spreadsheetml/2006/main" id="2" name="PrinciplesTable" displayName="PrinciplesTable" ref="A1:D11" headerRowCount="1">
  <x:tableColumns count="4">
    <x:tableColumn id="1" name="Principle"/>
    <x:tableColumn id="2" name="Why it matters"/>
    <x:tableColumn id="3" name="Evidence refs"/>
    <x:tableColumn id="4" name="Design implication"/>
  </x:tableColumns>
  <x:tableStyleInfo name="TableStyleMedium2" showRowStripes="1"/>
</x:table>
</file>

<file path=xl/tables/table3.xml><?xml version="1.0" encoding="utf-8"?>
<x:table xmlns:x="http://schemas.openxmlformats.org/spreadsheetml/2006/main" id="3" name="PatientWorkflowTable" displayName="PatientWorkflowTable" ref="A1:F8" headerRowCount="1">
  <x:tableColumns count="6">
    <x:tableColumn id="1" name="Step"/>
    <x:tableColumn id="2" name="Patient-facing workflow stage"/>
    <x:tableColumn id="3" name="Patient action"/>
    <x:tableColumn id="4" name="System action"/>
    <x:tableColumn id="5" name="Clinician handoff"/>
    <x:tableColumn id="6" name="Evidence refs"/>
  </x:tableColumns>
  <x:tableStyleInfo name="TableStyleMedium2" showRowStripes="1"/>
</x:table>
</file>

<file path=xl/tables/table4.xml><?xml version="1.0" encoding="utf-8"?>
<x:table xmlns:x="http://schemas.openxmlformats.org/spreadsheetml/2006/main" id="4" name="DoctorWorkflowTable" displayName="DoctorWorkflowTable" ref="A1:F7" headerRowCount="1">
  <x:tableColumns count="6">
    <x:tableColumn id="1" name="Step"/>
    <x:tableColumn id="2" name="Doctor-facing workflow stage"/>
    <x:tableColumn id="3" name="User action"/>
    <x:tableColumn id="4" name="System support"/>
    <x:tableColumn id="5" name="Patient voice protection"/>
    <x:tableColumn id="6" name="Evidence refs"/>
  </x:tableColumns>
  <x:tableStyleInfo name="TableStyleMedium2" showRowStripes="1"/>
</x:table>
</file>

<file path=xl/tables/table5.xml><?xml version="1.0" encoding="utf-8"?>
<x:table xmlns:x="http://schemas.openxmlformats.org/spreadsheetml/2006/main" id="5" name="DataSchemaTable" displayName="DataSchemaTable" ref="A1:E16" headerRowCount="1">
  <x:tableColumns count="5">
    <x:tableColumn id="1" name="Entity/table"/>
    <x:tableColumn id="2" name="Core fields"/>
    <x:tableColumn id="3" name="Purpose"/>
    <x:tableColumn id="4" name="Evidence refs"/>
    <x:tableColumn id="5" name="Privacy/safety notes"/>
  </x:tableColumns>
  <x:tableStyleInfo name="TableStyleMedium2" showRowStripes="1"/>
</x:table>
</file>

<file path=xl/tables/table6.xml><?xml version="1.0" encoding="utf-8"?>
<x:table xmlns:x="http://schemas.openxmlformats.org/spreadsheetml/2006/main" id="6" name="BlackZoneMapTable" displayName="BlackZoneMapTable" ref="A1:E15" headerRowCount="1">
  <x:tableColumns count="5">
    <x:tableColumn id="1" name="Patient stage"/>
    <x:tableColumn id="2" name="Black-zone / missed signal"/>
    <x:tableColumn id="3" name="Evidence refs"/>
    <x:tableColumn id="4" name="Product prevention"/>
    <x:tableColumn id="5" name="Safety guardrail"/>
  </x:tableColumns>
  <x:tableStyleInfo name="TableStyleMedium2" showRowStripes="1"/>
</x:table>
</file>

<file path=xl/tables/table7.xml><?xml version="1.0" encoding="utf-8"?>
<x:table xmlns:x="http://schemas.openxmlformats.org/spreadsheetml/2006/main" id="7" name="FeatureBacklogTable" displayName="FeatureBacklogTable" ref="A1:N27" headerRowCount="1">
  <x:tableColumns count="14">
    <x:tableColumn id="1" name="Feature name"/>
    <x:tableColumn id="2" name="User"/>
    <x:tableColumn id="3" name="Problem solved"/>
    <x:tableColumn id="4" name="Evidence supporting it"/>
    <x:tableColumn id="5" name="Patient-stage"/>
    <x:tableColumn id="6" name="Data needed"/>
    <x:tableColumn id="7" name="Risk level"/>
    <x:tableColumn id="8" name="Complexity"/>
    <x:tableColumn id="9" name="Expected value"/>
    <x:tableColumn id="10" name="Failure mode"/>
    <x:tableColumn id="11" name="Safety guardrail"/>
    <x:tableColumn id="12" name="Example quote or case"/>
    <x:tableColumn id="13" name="Source links"/>
    <x:tableColumn id="14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ProductInsightsTable" displayName="ProductInsightsTable" ref="A1:P27" headerRowCount="1">
  <x:tableColumns count="16">
    <x:tableColumn id="1" name="Insight / capability"/>
    <x:tableColumn id="2" name="Problem statement"/>
    <x:tableColumn id="3" name="Evidence sources"/>
    <x:tableColumn id="4" name="Patient-stage involved"/>
    <x:tableColumn id="5" name="User affected"/>
    <x:tableColumn id="6" name="What signal is currently missed"/>
    <x:tableColumn id="7" name="Why it gets missed"/>
    <x:tableColumn id="8" name="Proposed product capability"/>
    <x:tableColumn id="9" name="Data needed"/>
    <x:tableColumn id="10" name="Risk level"/>
    <x:tableColumn id="11" name="Safety concern"/>
    <x:tableColumn id="12" name="How it helps clinician workflow"/>
    <x:tableColumn id="13" name="How it helps patient voice"/>
    <x:tableColumn id="14" name="Limitations"/>
    <x:tableColumn id="15" name="Regions/settings where it may or may not work"/>
    <x:tableColumn id="16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SafetyRisksTable" displayName="SafetyRisksTable" ref="A1:D11" headerRowCount="1">
  <x:tableColumns count="4">
    <x:tableColumn id="1" name="High-risk area"/>
    <x:tableColumn id="2" name="Why risky"/>
    <x:tableColumn id="3" name="Evidence refs"/>
    <x:tableColumn id="4" name="Guardrail"/>
  </x:tableColumns>
  <x:tableStyleInfo name="TableStyleMedium2" showRowStripes="1"/>
</x:table>
</file>

<file path=xl/tables/table10.xml><?xml version="1.0" encoding="utf-8"?>
<x:table xmlns:x="http://schemas.openxmlformats.org/spreadsheetml/2006/main" id="10" name="RegionAdaptTable" displayName="RegionAdaptTable" ref="A1:D12" headerRowCount="1">
  <x:tableColumns count="4">
    <x:tableColumn id="1" name="Region / system type"/>
    <x:tableColumn id="2" name="Evidence refs"/>
    <x:tableColumn id="3" name="Product adaptation"/>
    <x:tableColumn id="4" name="May not work if"/>
  </x:tableColumns>
  <x:tableStyleInfo name="TableStyleMedium2" showRowStripes="1"/>
</x:table>
</file>

<file path=xl/tables/table11.xml><?xml version="1.0" encoding="utf-8"?>
<x:table xmlns:x="http://schemas.openxmlformats.org/spreadsheetml/2006/main" id="11" name="LivingInsightsTable" displayName="LivingInsightsTable" ref="A1:G31" headerRowCount="1">
  <x:tableColumns count="7">
    <x:tableColumn id="1" name="Insight ID"/>
    <x:tableColumn id="2" name="Insight"/>
    <x:tableColumn id="3" name="Status"/>
    <x:tableColumn id="4" name="Evidence refs"/>
    <x:tableColumn id="5" name="Why it matters"/>
    <x:tableColumn id="6" name="Open questions / cautions"/>
    <x:tableColumn id="7" name="Next evidence needed"/>
  </x:tableColumns>
  <x:tableStyleInfo name="TableStyleMedium2" showRowStripes="1"/>
</x:table>
</file>

<file path=xl/tables/table12.xml><?xml version="1.0" encoding="utf-8"?>
<x:table xmlns:x="http://schemas.openxmlformats.org/spreadsheetml/2006/main" id="12" name="SourceLogTable" displayName="SourceLogTable" ref="A1:R165" headerRowCount="1">
  <x:tableColumns count="18">
    <x:tableColumn id="1" name="package_filename"/>
    <x:tableColumn id="2" name="package_topic"/>
    <x:tableColumn id="3" name="source_ref"/>
    <x:tableColumn id="4" name="source_id"/>
    <x:tableColumn id="5" name="research_topic"/>
    <x:tableColumn id="6" name="source_title"/>
    <x:tableColumn id="7" name="source_url_or_identifier"/>
    <x:tableColumn id="8" name="source_type"/>
    <x:tableColumn id="9" name="author_or_org"/>
    <x:tableColumn id="10" name="publication_date"/>
    <x:tableColumn id="11" name="access_date"/>
    <x:tableColumn id="12" name="country_or_region"/>
    <x:tableColumn id="13" name="setting_or_context"/>
    <x:tableColumn id="14" name="evidence_quality"/>
    <x:tableColumn id="15" name="short_summary"/>
    <x:tableColumn id="16" name="raw_file_path"/>
    <x:tableColumn id="17" name="notes"/>
    <x:tableColumn id="18" name="date_packaged"/>
  </x:tableColumns>
  <x:tableStyleInfo name="TableStyleMedium2" showRowStripes="1"/>
</x:table>
</file>

<file path=xl/tables/table13.xml><?xml version="1.0" encoding="utf-8"?>
<x:table xmlns:x="http://schemas.openxmlformats.org/spreadsheetml/2006/main" id="13" name="EvidenceIndexTable" displayName="EvidenceIndexTable" ref="A1:U614" headerRowCount="1">
  <x:tableColumns count="21">
    <x:tableColumn id="1" name="package_key"/>
    <x:tableColumn id="2" name="package_filename"/>
    <x:tableColumn id="3" name="package_topic"/>
    <x:tableColumn id="4" name="table_type"/>
    <x:tableColumn id="5" name="internal_id"/>
    <x:tableColumn id="6" name="source_id"/>
    <x:tableColumn id="7" name="source_title"/>
    <x:tableColumn id="8" name="source_url_or_identifier"/>
    <x:tableColumn id="9" name="country_or_region"/>
    <x:tableColumn id="10" name="setting_or_context"/>
    <x:tableColumn id="11" name="patient_stage_or_process_step"/>
    <x:tableColumn id="12" name="condition_or_issue"/>
    <x:tableColumn id="13" name="topic_category_or_theme"/>
    <x:tableColumn id="14" name="finding_or_quote_or_case"/>
    <x:tableColumn id="15" name="what_happened"/>
    <x:tableColumn id="16" name="what_was_missed_or_identified"/>
    <x:tableColumn id="17" name="delay_or_timeline"/>
    <x:tableColumn id="18" name="product_or_system_implication"/>
    <x:tableColumn id="19" name="evidence_quality"/>
    <x:tableColumn id="20" name="source_file_path"/>
    <x:tableColumn id="21" name="evidence_ref"/>
  </x:tableColumns>
  <x:tableStyleInfo name="TableStyleMedium2" showRowStripes="1"/>
</x:table>
</file>

<file path=xl/tables/table14.xml><?xml version="1.0" encoding="utf-8"?>
<x:table xmlns:x="http://schemas.openxmlformats.org/spreadsheetml/2006/main" id="14" name="QuoteBankTable" displayName="QuoteBankTable" ref="A1:U49" headerRowCount="1">
  <x:tableColumns count="21">
    <x:tableColumn id="1" name="package_key"/>
    <x:tableColumn id="2" name="package_filename"/>
    <x:tableColumn id="3" name="package_topic"/>
    <x:tableColumn id="4" name="table_type"/>
    <x:tableColumn id="5" name="internal_id"/>
    <x:tableColumn id="6" name="source_id"/>
    <x:tableColumn id="7" name="source_title"/>
    <x:tableColumn id="8" name="source_url_or_identifier"/>
    <x:tableColumn id="9" name="country_or_region"/>
    <x:tableColumn id="10" name="setting_or_context"/>
    <x:tableColumn id="11" name="patient_stage_or_process_step"/>
    <x:tableColumn id="12" name="condition_or_issue"/>
    <x:tableColumn id="13" name="topic_category_or_theme"/>
    <x:tableColumn id="14" name="finding_or_quote_or_case"/>
    <x:tableColumn id="15" name="what_happened"/>
    <x:tableColumn id="16" name="what_was_missed_or_identified"/>
    <x:tableColumn id="17" name="delay_or_timeline"/>
    <x:tableColumn id="18" name="product_or_system_implication"/>
    <x:tableColumn id="19" name="evidence_quality"/>
    <x:tableColumn id="20" name="source_file_path"/>
    <x:tableColumn id="21" name="evidence_ref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ce894e842441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059f1bef984c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b5f9035fcf4f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3681c8ee9d4c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bb0e1d1dee4e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adf85c1bbc46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87ca85b65042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d761816d3b4d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dfbe6a275ac40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9310db4517044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849cfe8e0ce4a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c93e6126d9b48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fd04b9e6db1432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4d32a3fd4604e4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0" hidden="0" customWidth="1"/>
    <x:col min="5" max="5" width="28" hidden="0" customWidth="1"/>
    <x:col min="7" max="7" width="28" hidden="0" customWidth="1"/>
    <x:col min="8" max="8" width="28" hidden="0" customWidth="1"/>
  </x:cols>
  <x:sheetData>
    <x:row r="1">
      <x:c r="A1" s="4" t="str">
        <x:v>Research F synthesis dashboard</x:v>
      </x:c>
    </x:row>
    <x:row r="3">
      <x:c r="A3" s="18" t="str">
        <x:v>Corpus metric</x:v>
      </x:c>
      <x:c r="B3" s="18" t="str">
        <x:v>Formula-driven count</x:v>
      </x:c>
      <x:c r="C3" s="18" t="str">
        <x:v>Notes</x:v>
      </x:c>
      <x:c r="E3" s="11" t="str">
        <x:v>Status</x:v>
      </x:c>
      <x:c r="F3" s="11" t="str">
        <x:v>Count</x:v>
      </x:c>
      <x:c r="G3" s="11" t="str">
        <x:v>Interpretation</x:v>
      </x:c>
      <x:c r="H3" s="11" t="str">
        <x:v>Next action</x:v>
      </x:c>
    </x:row>
    <x:row r="4">
      <x:c r="A4" s="19" t="str">
        <x:v>Packages</x:v>
      </x:c>
      <x:c r="B4" s="19" t="n">
        <x:f>COUNTA('Package Notes'!A:A)-1</x:f>
        <x:v>5</x:v>
      </x:c>
      <x:c r="C4" s="19" t="str">
        <x:v>All five user-attached tarballs extracted.</x:v>
      </x:c>
      <x:c r="E4" s="16" t="str">
        <x:v>strongly supported</x:v>
      </x:c>
      <x:c r="F4" s="16" t="n">
        <x:f>COUNTIF('Living Insights'!C:C,"strongly supported")</x:f>
        <x:v>12</x:v>
      </x:c>
      <x:c r="G4" s="16" t="str">
        <x:v>Build into core design after local workflow review.</x:v>
      </x:c>
      <x:c r="H4" s="16" t="str">
        <x:v>See Living Insights and Feature Backlog.</x:v>
      </x:c>
    </x:row>
    <x:row r="5">
      <x:c r="A5" s="19" t="str">
        <x:v>Sources</x:v>
      </x:c>
      <x:c r="B5" s="19" t="n">
        <x:f>COUNTA('Source Log'!A:A)-1</x:f>
        <x:v>164</x:v>
      </x:c>
      <x:c r="C5" s="19" t="str">
        <x:v>Consolidated from sources_master.csv.</x:v>
      </x:c>
      <x:c r="E5" s="16" t="str">
        <x:v>supported by some evidence</x:v>
      </x:c>
      <x:c r="F5" s="16" t="n">
        <x:f>COUNTIF('Living Insights'!C:C,"supported by some evidence")</x:f>
        <x:v>7</x:v>
      </x:c>
      <x:c r="G5" s="16" t="str">
        <x:v>Prototype with validation and clinician input.</x:v>
      </x:c>
      <x:c r="H5" s="16" t="str">
        <x:v>See Living Insights and Feature Backlog.</x:v>
      </x:c>
    </x:row>
    <x:row r="6">
      <x:c r="A6" s="19" t="str">
        <x:v>Evidence items</x:v>
      </x:c>
      <x:c r="B6" s="19" t="n">
        <x:f>COUNTIF('Evidence Index'!D:D,"evidence_item")</x:f>
        <x:v>154</x:v>
      </x:c>
      <x:c r="C6" s="19" t="str">
        <x:v>Rows from evidence_items.csv only.</x:v>
      </x:c>
      <x:c r="E6" s="16" t="str">
        <x:v>region-specific</x:v>
      </x:c>
      <x:c r="F6" s="16" t="n">
        <x:f>COUNTIF('Living Insights'!C:C,"region-specific")</x:f>
        <x:v>5</x:v>
      </x:c>
      <x:c r="G6" s="16" t="str">
        <x:v>Enable only where workflow/resource model fits.</x:v>
      </x:c>
      <x:c r="H6" s="16" t="str">
        <x:v>See Living Insights and Feature Backlog.</x:v>
      </x:c>
    </x:row>
    <x:row r="7">
      <x:c r="A7" s="19" t="str">
        <x:v>Cases/examples</x:v>
      </x:c>
      <x:c r="B7" s="19" t="n">
        <x:f>COUNTIF('Evidence Index'!D:D,"case")</x:f>
        <x:v>117</x:v>
      </x:c>
      <x:c r="C7" s="19" t="str">
        <x:v>Rows from cases_or_examples.csv only.</x:v>
      </x:c>
      <x:c r="E7" s="16" t="str">
        <x:v>unsafe or needs caution</x:v>
      </x:c>
      <x:c r="F7" s="16" t="n">
        <x:f>COUNTIF('Living Insights'!C:C,"unsafe or needs caution")</x:f>
        <x:v>3</x:v>
      </x:c>
      <x:c r="G7" s="16" t="str">
        <x:v>Requires safety evaluation before deployment.</x:v>
      </x:c>
      <x:c r="H7" s="16" t="str">
        <x:v>See Living Insights and Feature Backlog.</x:v>
      </x:c>
    </x:row>
    <x:row r="8">
      <x:c r="A8" s="19" t="str">
        <x:v>Quotes</x:v>
      </x:c>
      <x:c r="B8" s="19" t="n">
        <x:f>COUNTIF('Evidence Index'!D:D,"quote")</x:f>
        <x:v>48</x:v>
      </x:c>
      <x:c r="C8" s="19" t="str">
        <x:v>Rows from quotes.csv only.</x:v>
      </x:c>
      <x:c r="E8" s="16" t="str">
        <x:v>early idea</x:v>
      </x:c>
      <x:c r="F8" s="16" t="n">
        <x:f>COUNTIF('Living Insights'!C:C,"early idea")</x:f>
        <x:v>1</x:v>
      </x:c>
      <x:c r="G8" s="16" t="str">
        <x:v>Do not build as alerting until evidence strengthens.</x:v>
      </x:c>
      <x:c r="H8" s="16" t="str">
        <x:v>See Living Insights and Feature Backlog.</x:v>
      </x:c>
    </x:row>
    <x:row r="9">
      <x:c r="A9" s="19" t="str">
        <x:v>Reviews/complaints</x:v>
      </x:c>
      <x:c r="B9" s="19" t="n">
        <x:f>COUNTIF('Evidence Index'!D:D,"review_or_complaint")</x:f>
        <x:v>38</x:v>
      </x:c>
      <x:c r="C9" s="19" t="str">
        <x:v>Rows from reviews_or_complaints.csv only.</x:v>
      </x:c>
      <x:c r="E9" s="16" t="str">
        <x:v>contradicted by evidence</x:v>
      </x:c>
      <x:c r="F9" s="16" t="n">
        <x:f>COUNTIF('Living Insights'!C:C,"contradicted by evidence")</x:f>
        <x:v>2</x:v>
      </x:c>
      <x:c r="G9" s="16" t="str">
        <x:v>Avoid as product principle.</x:v>
      </x:c>
      <x:c r="H9" s="16" t="str">
        <x:v>See Living Insights and Feature Backlog.</x:v>
      </x:c>
    </x:row>
    <x:row r="10">
      <x:c r="A10" s="19" t="str">
        <x:v>Feature backlog items</x:v>
      </x:c>
      <x:c r="B10" s="19" t="n">
        <x:f>COUNTA('Feature Backlog'!A:A)-1</x:f>
        <x:v>26</x:v>
      </x:c>
      <x:c r="C10" s="19" t="str">
        <x:v>Evidence-backed product backlog.</x:v>
      </x:c>
    </x:row>
    <x:row r="11">
      <x:c r="A11" s="19" t="str">
        <x:v>Living insights</x:v>
      </x:c>
      <x:c r="B11" s="19" t="n">
        <x:f>COUNTA('Living Insights'!A:A)-1</x:f>
        <x:v>30</x:v>
      </x:c>
      <x:c r="C11" s="19" t="str">
        <x:v>Includes contradicted/unsafe/early idea status.</x:v>
      </x:c>
    </x:row>
    <x:row r="13">
      <x:c r="A13" s="24" t="str">
        <x:v>Highest-confidence product spine: intake timeline -&gt; diagnostic episode -&gt; clinician summary -&gt; closed-loop results/referrals -&gt; follow-up/reset.</x:v>
      </x:c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5" hidden="0" customWidth="1"/>
    <x:col min="5" max="5" width="36" hidden="0" customWidth="1"/>
    <x:col min="6" max="6" width="36" hidden="0" customWidth="1"/>
    <x:col min="7" max="7" width="36" hidden="0" customWidth="1"/>
    <x:col min="8" max="8" width="18" hidden="0" customWidth="1"/>
    <x:col min="9" max="9" width="36" hidden="0" customWidth="1"/>
    <x:col min="10" max="10" width="18" hidden="0" customWidth="1"/>
    <x:col min="11" max="11" width="18" hidden="0" customWidth="1"/>
    <x:col min="12" max="12" width="18" hidden="0" customWidth="1"/>
    <x:col min="13" max="13" width="70" hidden="0" customWidth="1"/>
  </x:cols>
  <x:sheetData>
    <x:row r="1" ht="45" customHeight="1">
      <x:c r="A1" s="18" t="str">
        <x:v>package_key</x:v>
      </x:c>
      <x:c r="B1" s="18" t="str">
        <x:v>package_filename</x:v>
      </x:c>
      <x:c r="C1" s="18" t="str">
        <x:v>package_topic</x:v>
      </x:c>
      <x:c r="D1" s="18" t="str">
        <x:v>extracted_base_path</x:v>
      </x:c>
      <x:c r="E1" s="18" t="str">
        <x:v>file_count_after_extraction</x:v>
      </x:c>
      <x:c r="F1" s="18" t="str">
        <x:v>source_count</x:v>
      </x:c>
      <x:c r="G1" s="18" t="str">
        <x:v>evidence_items_count</x:v>
      </x:c>
      <x:c r="H1" s="18" t="str">
        <x:v>cases_count</x:v>
      </x:c>
      <x:c r="I1" s="18" t="str">
        <x:v>quotes_count</x:v>
      </x:c>
      <x:c r="J1" s="18" t="str">
        <x:v>reviews_or_complaints_count</x:v>
      </x:c>
      <x:c r="K1" s="18" t="str">
        <x:v>statistics_or_metrics_count</x:v>
      </x:c>
      <x:c r="L1" s="18" t="str">
        <x:v>readability_status</x:v>
      </x:c>
      <x:c r="M1" s="18" t="str">
        <x:v>limitations_summary</x:v>
      </x:c>
    </x:row>
    <x:row r="2">
      <x:c r="A2" s="19" t="str">
        <x:v>D_clinician</x:v>
      </x:c>
      <x:c r="B2" s="19" t="str">
        <x:v>research_evidence_package_clinician_side_diagnostic_pain_points_2026-05-30.tar.gz</x:v>
      </x:c>
      <x:c r="C2" s="19" t="str">
        <x:v>Research D / clinician-side diagnostic pain points</x:v>
      </x:c>
      <x:c r="D2" s="19" t="str">
        <x:v>/mnt/data/research_f_extracted/research_evidence_package_clinician_side_diagnostic_pain_points_2026-05-30/research_evidence_package</x:v>
      </x:c>
      <x:c r="E2" s="19" t="str">
        <x:v>69</x:v>
      </x:c>
      <x:c r="F2" s="19" t="str">
        <x:v>24</x:v>
      </x:c>
      <x:c r="G2" s="19" t="str">
        <x:v>21</x:v>
      </x:c>
      <x:c r="H2" s="19" t="str">
        <x:v>4</x:v>
      </x:c>
      <x:c r="I2" s="19" t="str">
        <x:v>13</x:v>
      </x:c>
      <x:c r="J2" s="19" t="str">
        <x:v>0</x:v>
      </x:c>
      <x:c r="K2" s="19" t="str">
        <x:v>10</x:v>
      </x:c>
      <x:c r="L2" s="19" t="str">
        <x:v>readable; extracted successfully</x:v>
      </x:c>
      <x:c r="M2" s="19" t="str">
        <x:v>- Raw source webpages, PDFs, and screenshots were not downloaded during the completed research step. - Some authors were not captured in the prior report and are marked `unknown`. - Some publication dates are approximate or listed as current/access date where exact dates were not captured. - Quotes are intentionally short. A few quote-like entries came from completed research notes and should be verified against the original source before public use. - The package has no public reviews/complaints rows because the completed Research D output focused mainly on clinician literature, safety reports, and commentary. - This is a curated research archive, not a systematic review or prevalence estimate.</x:v>
      </x:c>
    </x:row>
    <x:row r="3">
      <x:c r="A3" s="19" t="str">
        <x:v>E_global</x:v>
      </x:c>
      <x:c r="B3" s="19" t="str">
        <x:v>research_evidence_package_global_health_issue_identification_2026-05-30.tar.gz</x:v>
      </x:c>
      <x:c r="C3" s="19" t="str">
        <x:v>Research E / global health issue identification</x:v>
      </x:c>
      <x:c r="D3" s="19" t="str">
        <x:v>/mnt/data/research_f_extracted/research_evidence_package_global_health_issue_identification_2026-05-30/research_evidence_package</x:v>
      </x:c>
      <x:c r="E3" s="19" t="str">
        <x:v>75</x:v>
      </x:c>
      <x:c r="F3" s="19" t="str">
        <x:v>30</x:v>
      </x:c>
      <x:c r="G3" s="19" t="str">
        <x:v>30</x:v>
      </x:c>
      <x:c r="H3" s="19" t="str">
        <x:v>10</x:v>
      </x:c>
      <x:c r="I3" s="19" t="str">
        <x:v>3</x:v>
      </x:c>
      <x:c r="J3" s="19" t="str">
        <x:v>0</x:v>
      </x:c>
      <x:c r="K3" s="19" t="str">
        <x:v>7</x:v>
      </x:c>
      <x:c r="L3" s="19" t="str">
        <x:v>readable; extracted successfully</x:v>
      </x:c>
      <x:c r="M3" s="19" t="str">
        <x:v>- This archive packages the research already completed; it does not add a new source search. - Full raw source pages/PDFs were not downloaded; raw source folders contain source-summary Markdown stubs with URLs and summaries. - Some publication dates were not available in the completed notes and are marked `unknown`. - Some source authors are listed as organization or `authors unknown` where individual authors were not captured. - Patient voice is limited because the completed research prioritized system reports and documented cases over direct forum/review mining. - Review/complaint structured rows are empty except for ombudsman-style complaint material captured under cases and sources. - Several broad regional categories, such as Europe and East Asia, are represented by selected country e</x:v>
      </x:c>
    </x:row>
    <x:row r="4">
      <x:c r="A4" s="19" t="str">
        <x:v>A_flows</x:v>
      </x:c>
      <x:c r="B4" s="19" t="str">
        <x:v>research_evidence_package_health_system_patient_flows_2026-05-30.tar.gz</x:v>
      </x:c>
      <x:c r="C4" s="19" t="str">
        <x:v>Research A / health-system patient flows</x:v>
      </x:c>
      <x:c r="D4" s="19" t="str">
        <x:v>/mnt/data/research_f_extracted/research_evidence_package_health_system_patient_flows_2026-05-30/research_evidence_package</x:v>
      </x:c>
      <x:c r="E4" s="19" t="str">
        <x:v>103</x:v>
      </x:c>
      <x:c r="F4" s="19" t="str">
        <x:v>56</x:v>
      </x:c>
      <x:c r="G4" s="19" t="str">
        <x:v>53</x:v>
      </x:c>
      <x:c r="H4" s="19" t="str">
        <x:v>53</x:v>
      </x:c>
      <x:c r="I4" s="19" t="str">
        <x:v>5</x:v>
      </x:c>
      <x:c r="J4" s="19" t="str">
        <x:v>10</x:v>
      </x:c>
      <x:c r="K4" s="19" t="str">
        <x:v>4</x:v>
      </x:c>
      <x:c r="L4" s="19" t="str">
        <x:v>readable; extracted successfully</x:v>
      </x:c>
      <x:c r="M4" s="19" t="str">
        <x:v>- Some metadata remains incomplete, especially author/organization and exact publication dates. - Raw source files were not embedded; placeholder files preserve URLs and context. - Quantitative metrics should be verified against the original linked sources before publication or statistical use. - Evidence quality varies by source type; patient stories and complaints are valuable for workflow insight but are not population estimates. - The workbook prioritized breadth across settings and regions, not exhaustive coverage of any one country or condition.</x:v>
      </x:c>
    </x:row>
    <x:row r="5">
      <x:c r="A5" s="19" t="str">
        <x:v>B_missed</x:v>
      </x:c>
      <x:c r="B5" s="19" t="str">
        <x:v>research_evidence_package_missed_signals_diagnostic_errors_2026-05-30.tar.gz</x:v>
      </x:c>
      <x:c r="C5" s="19" t="str">
        <x:v>Research B / missed signals and diagnostic errors</x:v>
      </x:c>
      <x:c r="D5" s="19" t="str">
        <x:v>/mnt/data/research_f_extracted/research_evidence_package_missed_signals_diagnostic_errors_2026-05-30/research_evidence_package</x:v>
      </x:c>
      <x:c r="E5" s="19" t="str">
        <x:v>58</x:v>
      </x:c>
      <x:c r="F5" s="19" t="str">
        <x:v>15</x:v>
      </x:c>
      <x:c r="G5" s="19" t="str">
        <x:v>32</x:v>
      </x:c>
      <x:c r="H5" s="19" t="str">
        <x:v>32</x:v>
      </x:c>
      <x:c r="I5" s="19" t="str">
        <x:v>7</x:v>
      </x:c>
      <x:c r="J5" s="19" t="str">
        <x:v>9</x:v>
      </x:c>
      <x:c r="K5" s="19" t="str">
        <x:v>12</x:v>
      </x:c>
      <x:c r="L5" s="19" t="str">
        <x:v>readable; extracted successfully</x:v>
      </x:c>
      <x:c r="M5" s="19" t="str">
        <x:v>- Some metadata fields such as author, exact publication date, or outcome are unknown in the completed workbook and are marked `unknown`. - Raw source documents were not preserved except for the completed workbook and available preview image. - Patient quotes are intentionally short and contextual; this package does not include full patient stories. - Counts are based on curated case-library tags, not epidemiologic prevalence. - Some evidence comes from patient advocacy or experience sources and should be treated as lower-confidence for clinical generalization while still valuable for workflow discovery.</x:v>
      </x:c>
    </x:row>
    <x:row r="6">
      <x:c r="A6" s="19" t="str">
        <x:v>C_complaints</x:v>
      </x:c>
      <x:c r="B6" s="19" t="str">
        <x:v>research_evidence_package_patient_complaints_identification_failures_2026-05-30.tar.gz</x:v>
      </x:c>
      <x:c r="C6" s="19" t="str">
        <x:v>Research C / patient complaints and identification failures</x:v>
      </x:c>
      <x:c r="D6" s="19" t="str">
        <x:v>/mnt/data/research_f_extracted/research_evidence_package_patient_complaints_identification_failures_2026-05-30/research_evidence_package</x:v>
      </x:c>
      <x:c r="E6" s="19" t="str">
        <x:v>86</x:v>
      </x:c>
      <x:c r="F6" s="19" t="str">
        <x:v>39</x:v>
      </x:c>
      <x:c r="G6" s="19" t="str">
        <x:v>18</x:v>
      </x:c>
      <x:c r="H6" s="19" t="str">
        <x:v>18</x:v>
      </x:c>
      <x:c r="I6" s="19" t="str">
        <x:v>20</x:v>
      </x:c>
      <x:c r="J6" s="19" t="str">
        <x:v>19</x:v>
      </x:c>
      <x:c r="K6" s="19" t="str">
        <x:v>6</x:v>
      </x:c>
      <x:c r="L6" s="19" t="str">
        <x:v>readable; extracted successfully</x:v>
      </x:c>
      <x:c r="M6" s="19" t="str">
        <x:v>- Raw webpages, PDFs, and screenshots were not downloaded during packaging; source-summary files and URLs were included instead. - Some publication dates were unknown in the completed research and are marked `unknown`. - Some countries, settings, and outcomes are based on the source description and may need verification from the original source. - Public reviews and advocacy stories are valuable patient-voice evidence but are usually not independently adjudicated. - Evidence is intentionally varied and not over-cleaned; it includes high-quality official cases and lower-confidence public accounts. - This package does not include a complete systematic search log.</x:v>
      </x:c>
    </x:row>
  </x:sheetData>
  <x:pageMargins left="0.7" right="0.7" top="0.75" bottom="0.75" header="0.3" footer="0.3"/>
  <x:tableParts count="1">
    <x:tablePart xmlns:r="http://schemas.openxmlformats.org/officeDocument/2006/relationships" r:id="R1cce894e842441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6" hidden="0" customWidth="1"/>
    <x:col min="4" max="4" width="36" hidden="0" customWidth="1"/>
  </x:cols>
  <x:sheetData>
    <x:row r="1" ht="45" customHeight="1">
      <x:c r="A1" s="18" t="str">
        <x:v>Principle</x:v>
      </x:c>
      <x:c r="B1" s="18" t="str">
        <x:v>Why it matters</x:v>
      </x:c>
      <x:c r="C1" s="18" t="str">
        <x:v>Evidence refs</x:v>
      </x:c>
      <x:c r="D1" s="18" t="str">
        <x:v>Design implication</x:v>
      </x:c>
    </x:row>
    <x:row r="2">
      <x:c r="A2" s="19" t="str">
        <x:v>Track diagnostic episodes over time, not only encounters.</x:v>
      </x:c>
      <x:c r="B2" s="19" t="str">
        <x:v>Repeated visits and unresolved symptoms were repeatedly documented as black zones.</x:v>
      </x:c>
      <x:c r="C2" s="19" t="str">
        <x:v>research_evidence_package_health_system_patient_flows_2026-05-30.tar.gz::main_report.md; research_evidence_package_missed_signals_diagnostic_errors_2026-05-30.tar.gz::patterns.md; research_evidence_package_clinician_side_diagnostic_pain_points_2026-05-30.tar.gz::key_findings.md; research_evidence_package_global_health_issue_identification_2026-05-30.tar.gz::key_findings.md</x:v>
      </x:c>
      <x:c r="D2" s="19" t="str">
        <x:v>Create an unresolved-problem layer across visits, tests, referrals, messages and patient check-ins.</x:v>
      </x:c>
    </x:row>
    <x:row r="3">
      <x:c r="A3" s="19" t="str">
        <x:v>Separate acuity sorting from diagnostic uncertainty.</x:v>
      </x:c>
      <x:c r="B3" s="19" t="str">
        <x:v>Front-door workflows sort urgency; hidden/chronic/complex issues can remain unexplained even when not emergent.</x:v>
      </x:c>
      <x:c r="C3" s="19" t="str">
        <x:v>research_evidence_package_health_system_patient_flows_2026-05-30.tar.gz::flow_maps.csv::FM01-FM06; research_evidence_package_missed_signals_diagnostic_errors_2026-05-30.tar.gz::black_zones_by_patient_stage.csv</x:v>
      </x:c>
      <x:c r="D3" s="19" t="str">
        <x:v>Show both urgency and unresolved diagnostic risk; do not let low acuity equal resolved diagnosis.</x:v>
      </x:c>
    </x:row>
    <x:row r="4">
      <x:c r="A4" s="19" t="str">
        <x:v>Preserve patient voice without making it the final diagnosis.</x:v>
      </x:c>
      <x:c r="B4" s="19" t="str">
        <x:v>Patient complaints reveal cut-off histories, dismissal and positive patterns of being listened to.</x:v>
      </x:c>
      <x:c r="C4" s="19" t="str">
        <x:v>research_evidence_package_patient_complaints_identification_failures_2026-05-30.tar.gz::quotes.csv; research_evidence_package_health_system_patient_flows_2026-05-30.tar.gz::quotes.csv; research_evidence_package_missed_signals_diagnostic_errors_2026-05-30.tar.gz::quotes.csv</x:v>
      </x:c>
      <x:c r="D4" s="19" t="str">
        <x:v>Store patient’s own words, daily impact and top fear separately from clinician assessment; allow corrections.</x:v>
      </x:c>
    </x:row>
    <x:row r="5">
      <x:c r="A5" s="19" t="str">
        <x:v>Every result/referral/pending test needs an owner, deadline and closure state.</x:v>
      </x:c>
      <x:c r="B5" s="19" t="str">
        <x:v>Abnormal-result and referral follow-up failures recur across patient-safety, clinician and complaint evidence.</x:v>
      </x:c>
      <x:c r="C5" s="19" t="str">
        <x:v>research_evidence_package_clinician_side_diagnostic_pain_points_2026-05-30.tar.gz::evidence_items.csv::E001/E014/E015; research_evidence_package_missed_signals_diagnostic_errors_2026-05-30.tar.gz::product_opportunities.csv; research_evidence_package_patient_complaints_identification_failures_2026-05-30.tar.gz::cases_or_examples.csv::C010/C011; research_evidence_package_health_system_patient_flows_2026-05-30.tar.gz::flow_maps.csv::FM08/FM10</x:v>
      </x:c>
      <x:c r="D5" s="19" t="str">
        <x:v>Build ledgers with owner, backup, due date, patient notification, action, and escalation.</x:v>
      </x:c>
    </x:row>
    <x:row r="6">
      <x:c r="A6" s="19" t="str">
        <x:v>Normal tests must be paired with symptom status and test limitations.</x:v>
      </x:c>
      <x:c r="B6" s="19" t="str">
        <x:v>Normal-test traps appeared across ED, primary care, specialist and patient-story evidence.</x:v>
      </x:c>
      <x:c r="C6" s="19" t="str">
        <x:v>research_evidence_package_missed_signals_diagnostic_errors_2026-05-30.tar.gz::product_opportunities.csv::Normal-test trap explainer; research_evidence_package_patient_complaints_identification_failures_2026-05-30.tar.gz::cases_or_examples.csv::C003/C007; research_evidence_package_health_system_patient_flows_2026-05-30.tar.gz::main_report.md</x:v>
      </x:c>
      <x:c r="D6" s="19" t="str">
        <x:v>Show date/scope/symptom context and “what remains unexplained,” with clinician-reviewed safety net.</x:v>
      </x:c>
    </x:row>
    <x:row r="7">
      <x:c r="A7" s="19" t="str">
        <x:v>Minimize alert fatigue by making alerts actionable, ranked and owned.</x:v>
      </x:c>
      <x:c r="B7" s="19" t="str">
        <x:v>Clinician evidence documents EHR alert overload, fatigue and cognitive load.</x:v>
      </x:c>
      <x:c r="C7" s="19" t="str">
        <x:v>research_evidence_package_clinician_side_diagnostic_pain_points_2026-05-30.tar.gz::evidence_items.csv::E001/E011/E015; research_evidence_package_clinician_side_diagnostic_pain_points_2026-05-30.tar.gz::quotes.csv::Q003/Q008/Q010</x:v>
      </x:c>
      <x:c r="D7" s="19" t="str">
        <x:v>Few high-signal alerts, duplicate suppression, task worklists, workload monitoring, false-positive tracking.</x:v>
      </x:c>
    </x:row>
    <x:row r="8">
      <x:c r="A8" s="19" t="str">
        <x:v>Configure the product by care-flow model and resource level.</x:v>
      </x:c>
      <x:c r="B8" s="19" t="str">
        <x:v>Global evidence shows gatekeeper, open-access, integrated, fragmented, CHW-based, rural, migrant and Indigenous workflows differ.</x:v>
      </x:c>
      <x:c r="C8" s="19" t="str">
        <x:v>research_evidence_package_global_health_issue_identification_2026-05-30.tar.gz::main_report.md; research_evidence_package_health_system_patient_flows_2026-05-30.tar.gz::flow_maps.csv; research_evidence_package_clinician_side_diagnostic_pain_points_2026-05-30.tar.gz::evidence_items.csv::E019/E020</x:v>
      </x:c>
      <x:c r="D8" s="19" t="str">
        <x:v>Do not assume one EHR, one GP owner, broadband, interpreters, or specialist access; support offline/paper/SMS paths.</x:v>
      </x:c>
    </x:row>
    <x:row r="9">
      <x:c r="A9" s="19" t="str">
        <x:v>Expose uncertainty clearly and never present the system as a final diagnostic authority.</x:v>
      </x:c>
      <x:c r="B9" s="19" t="str">
        <x:v>Safety notes across packages warn against false reassurance, overtesting and replacing clinical judgment.</x:v>
      </x:c>
      <x:c r="C9" s="19" t="str">
        <x:v>research_evidence_package_health_system_patient_flows_2026-05-30.tar.gz::risks_and_safety_notes.md; research_evidence_package_missed_signals_diagnostic_errors_2026-05-30.tar.gz::risks_and_safety_notes.md; research_evidence_package_clinician_side_diagnostic_pain_points_2026-05-30.tar.gz::risks_and_safety_notes.md; research_evidence_package_global_health_issue_identification_2026-05-30.tar.gz::risks_and_safety_notes.md</x:v>
      </x:c>
      <x:c r="D9" s="19" t="str">
        <x:v>Use support language, source links, clinician review, override rationale and false positive/negative monitoring.</x:v>
      </x:c>
    </x:row>
    <x:row r="10">
      <x:c r="A10" s="19" t="str">
        <x:v>Make handoffs first-class product objects.</x:v>
      </x:c>
      <x:c r="B10" s="19" t="str">
        <x:v>Poor handoffs recur in ED, inpatient, referral, discharge and public/private transitions.</x:v>
      </x:c>
      <x:c r="C10" s="19" t="str">
        <x:v>research_evidence_package_health_system_patient_flows_2026-05-30.tar.gz::patterns.md; research_evidence_package_missed_signals_diagnostic_errors_2026-05-30.tar.gz::patterns.md; research_evidence_package_clinician_side_diagnostic_pain_points_2026-05-30.tar.gz::cases_or_examples.csv::C004</x:v>
      </x:c>
      <x:c r="D10" s="19" t="str">
        <x:v>Structured handoff payload: diagnosis/uncertainty, pending tasks, watch-outs, receiving acknowledgment and next owner.</x:v>
      </x:c>
    </x:row>
    <x:row r="11">
      <x:c r="A11" s="19" t="str">
        <x:v>Design for trust, language, culture and access barriers as diagnostic inputs.</x:v>
      </x:c>
      <x:c r="B11" s="19" t="str">
        <x:v>Global evidence shows language, racism, cultural safety, cost, transport and digital exclusion affect whether symptoms are voiced, believed and followed up.</x:v>
      </x:c>
      <x:c r="C11" s="19" t="str">
        <x:v>research_evidence_package_global_health_issue_identification_2026-05-30.tar.gz::cultural_black_zone_map.md; research_evidence_package_global_health_issue_identification_2026-05-30.tar.gz::cases_or_examples.csv::C004/C008/C009/C010</x:v>
      </x:c>
      <x:c r="D11" s="19" t="str">
        <x:v>Interpreter/cultural-safety workflows, access barriers, patient-held records, liaison routing, and non-punitive resource documentation.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85059f1bef984c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18" hidden="0" customWidth="1"/>
    <x:col min="6" max="6" width="36" hidden="0" customWidth="1"/>
  </x:cols>
  <x:sheetData>
    <x:row r="1" ht="45" customHeight="1">
      <x:c r="A1" s="18" t="str">
        <x:v>Step</x:v>
      </x:c>
      <x:c r="B1" s="18" t="str">
        <x:v>Patient-facing workflow stage</x:v>
      </x:c>
      <x:c r="C1" s="18" t="str">
        <x:v>Patient action</x:v>
      </x:c>
      <x:c r="D1" s="18" t="str">
        <x:v>System action</x:v>
      </x:c>
      <x:c r="E1" s="18" t="str">
        <x:v>Clinician handoff</x:v>
      </x:c>
      <x:c r="F1" s="18" t="str">
        <x:v>Evidence refs</x:v>
      </x:c>
    </x:row>
    <x:row r="2">
      <x:c r="A2" s="19" t="str">
        <x:v>1</x:v>
      </x:c>
      <x:c r="B2" s="19" t="str">
        <x:v>Before visit / digital or paper intake</x:v>
      </x:c>
      <x:c r="C2" s="19" t="str">
        <x:v>Choose language/accessibility mode; enter top concerns, symptom timeline, change from normal, daily impact, main fear/theory, family history, medications, prior tests and out-of-system visits.</x:v>
      </x:c>
      <x:c r="D2" s="19" t="str">
        <x:v>Detect emergency language and redirect; prepare concise intake summary; mark missing risk-context fields.</x:v>
      </x:c>
      <x:c r="E2" s="19" t="str">
        <x:v>Nurse/doctor sees patient words plus structured timeline, not only chief complaint.</x:v>
      </x:c>
      <x:c r="F2" s="19" t="str">
        <x:v>research_evidence_package_clinician_side_diagnostic_pain_points_2026-05-30.tar.gz::E003/E006/E007; research_evidence_package_patient_complaints_identification_failures_2026-05-30.tar.gz::C001/C002; research_evidence_package_health_system_patient_flows_2026-05-30.tar.gz::FM05/FM06/FM07</x:v>
      </x:c>
    </x:row>
    <x:row r="3">
      <x:c r="A3" s="19" t="str">
        <x:v>2</x:v>
      </x:c>
      <x:c r="B3" s="19" t="str">
        <x:v>Arrival / registration</x:v>
      </x:c>
      <x:c r="C3" s="19" t="str">
        <x:v>Confirm symptoms are same/worse/new; indicate deterioration while waiting; provide caregiver/family concern if desired.</x:v>
      </x:c>
      <x:c r="D3" s="19" t="str">
        <x:v>Show repeat-visit and high-risk-history banner; start waiting-time and deterioration checks.</x:v>
      </x:c>
      <x:c r="E3" s="19" t="str">
        <x:v>Registration/nurse gets plain-language red flags and escalation button.</x:v>
      </x:c>
      <x:c r="F3" s="19" t="str">
        <x:v>research_evidence_package_health_system_patient_flows_2026-05-30.tar.gz::FM01-FM05; research_evidence_package_missed_signals_diagnostic_errors_2026-05-30.tar.gz::black_zones_by_patient_stage.csv</x:v>
      </x:c>
    </x:row>
    <x:row r="4">
      <x:c r="A4" s="19" t="str">
        <x:v>3</x:v>
      </x:c>
      <x:c r="B4" s="19" t="str">
        <x:v>Triage / vitals</x:v>
      </x:c>
      <x:c r="C4" s="19" t="str">
        <x:v>Verify top concern and what has changed; repeat if symptoms worsen.</x:v>
      </x:c>
      <x:c r="D4" s="19" t="str">
        <x:v>Pair acuity score with diagnostic uncertainty; prompt repeat vitals/reassessment timers when needed.</x:v>
      </x:c>
      <x:c r="E4" s="19" t="str">
        <x:v>Nurse sees red flags, recent visits, vitals trends and patient/caregiver concern.</x:v>
      </x:c>
      <x:c r="F4" s="19" t="str">
        <x:v>research_evidence_package_health_system_patient_flows_2026-05-30.tar.gz::FM01/FM02; research_evidence_package_clinician_side_diagnostic_pain_points_2026-05-30.tar.gz::E010</x:v>
      </x:c>
    </x:row>
    <x:row r="5">
      <x:c r="A5" s="19" t="str">
        <x:v>4</x:v>
      </x:c>
      <x:c r="B5" s="19" t="str">
        <x:v>Clinician assessment</x:v>
      </x:c>
      <x:c r="C5" s="19" t="str">
        <x:v>Review/confirm timeline, patient quote and unresolved concerns.</x:v>
      </x:c>
      <x:c r="D5" s="19" t="str">
        <x:v>Show doctor-facing summary, missing data checklist, prior results/referrals and dangerous-to-miss prompts.</x:v>
      </x:c>
      <x:c r="E5" s="19" t="str">
        <x:v>Doctor sees concise source-linked timeline and can edit/override.</x:v>
      </x:c>
      <x:c r="F5" s="19" t="str">
        <x:v>research_evidence_package_clinician_side_diagnostic_pain_points_2026-05-30.tar.gz::E015/E016/E021; research_evidence_package_missed_signals_diagnostic_errors_2026-05-30.tar.gz::patterns.md</x:v>
      </x:c>
    </x:row>
    <x:row r="6">
      <x:c r="A6" s="19" t="str">
        <x:v>5</x:v>
      </x:c>
      <x:c r="B6" s="19" t="str">
        <x:v>Plan / discharge / visit closure</x:v>
      </x:c>
      <x:c r="C6" s="19" t="str">
        <x:v>See disposition for each concern, pending tests, what remains unexplained, safety-net instructions and who owns follow-up.</x:v>
      </x:c>
      <x:c r="D6" s="19" t="str">
        <x:v>Create follow-up tasks and pending-test contract; collect patient correction if summary misses something.</x:v>
      </x:c>
      <x:c r="E6" s="19" t="str">
        <x:v>Doctor/nurse closes encounter only with owner/deadline for pending items.</x:v>
      </x:c>
      <x:c r="F6" s="19" t="str">
        <x:v>research_evidence_package_missed_signals_diagnostic_errors_2026-05-30.tar.gz::Pending-test discharge contract; research_evidence_package_patient_complaints_identification_failures_2026-05-30.tar.gz::C002/C003/C010/C011; research_evidence_package_clinician_side_diagnostic_pain_points_2026-05-30.tar.gz::E004</x:v>
      </x:c>
    </x:row>
    <x:row r="7">
      <x:c r="A7" s="19" t="str">
        <x:v>6</x:v>
      </x:c>
      <x:c r="B7" s="19" t="str">
        <x:v>Post-visit follow-up</x:v>
      </x:c>
      <x:c r="C7" s="19" t="str">
        <x:v>Answer “symptoms still present/worse?” check-ins; view result/referral status; request escalation if deterioration is not being addressed.</x:v>
      </x:c>
      <x:c r="D7" s="19" t="str">
        <x:v>Escalate unresolved symptoms, overdue abnormal results, uncompleted referrals and repeat visits.</x:v>
      </x:c>
      <x:c r="E7" s="19" t="str">
        <x:v>Worklist routes overdue actions to owner/backup; patient status is visible.</x:v>
      </x:c>
      <x:c r="F7" s="19" t="str">
        <x:v>research_evidence_package_health_system_patient_flows_2026-05-30.tar.gz::FM08/FM09/FM10; research_evidence_package_global_health_issue_identification_2026-05-30.tar.gz::key_findings.md; research_evidence_package_patient_complaints_identification_failures_2026-05-30.tar.gz::S036</x:v>
      </x:c>
    </x:row>
    <x:row r="8">
      <x:c r="A8" s="19" t="str">
        <x:v>7</x:v>
      </x:c>
      <x:c r="B8" s="19" t="str">
        <x:v>Long-term monitoring / cross-system care</x:v>
      </x:c>
      <x:c r="C8" s="19" t="str">
        <x:v>Maintain longitudinal symptoms, baseline changes, records/photos and out-of-system care.</x:v>
      </x:c>
      <x:c r="D8" s="19" t="str">
        <x:v>Trend labs/symptoms and keep unresolved diagnostic threads visible.</x:v>
      </x:c>
      <x:c r="E8" s="19" t="str">
        <x:v>Specialists and primary care share one diagnostic episode view.</x:v>
      </x:c>
      <x:c r="F8" s="19" t="str">
        <x:v>research_evidence_package_missed_signals_diagnostic_errors_2026-05-30.tar.gz::B-001/B-014/B-020/B-021; research_evidence_package_global_health_issue_identification_2026-05-30.tar.gz::product_or_system_implications.md</x:v>
      </x:c>
    </x:row>
  </x:sheetData>
  <x:pageMargins left="0.7" right="0.7" top="0.75" bottom="0.75" header="0.3" footer="0.3"/>
  <x:tableParts count="1">
    <x:tablePart xmlns:r="http://schemas.openxmlformats.org/officeDocument/2006/relationships" r:id="R20b5f9035fcf4f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18" hidden="0" customWidth="1"/>
    <x:col min="5" max="5" width="18" hidden="0" customWidth="1"/>
    <x:col min="6" max="6" width="36" hidden="0" customWidth="1"/>
  </x:cols>
  <x:sheetData>
    <x:row r="1" ht="45" customHeight="1">
      <x:c r="A1" s="18" t="str">
        <x:v>Step</x:v>
      </x:c>
      <x:c r="B1" s="18" t="str">
        <x:v>Doctor-facing workflow stage</x:v>
      </x:c>
      <x:c r="C1" s="18" t="str">
        <x:v>User action</x:v>
      </x:c>
      <x:c r="D1" s="18" t="str">
        <x:v>System support</x:v>
      </x:c>
      <x:c r="E1" s="18" t="str">
        <x:v>Patient voice protection</x:v>
      </x:c>
      <x:c r="F1" s="18" t="str">
        <x:v>Evidence refs</x:v>
      </x:c>
    </x:row>
    <x:row r="2">
      <x:c r="A2" s="19" t="str">
        <x:v>1</x:v>
      </x:c>
      <x:c r="B2" s="19" t="str">
        <x:v>Pre-visit review</x:v>
      </x:c>
      <x:c r="C2" s="19" t="str">
        <x:v>Open source-linked summary of top concerns, timeline, repeat visits, red flags, abnormal/pending results and referral statuses.</x:v>
      </x:c>
      <x:c r="D2" s="19" t="str">
        <x:v>Rank signals by unresolved risk and freshness; show missing data checklist.</x:v>
      </x:c>
      <x:c r="E2" s="19" t="str">
        <x:v>Patient quote and concern/fear remain visible but separate from assessment.</x:v>
      </x:c>
      <x:c r="F2" s="19" t="str">
        <x:v>research_evidence_package_clinician_side_diagnostic_pain_points_2026-05-30.tar.gz::E015/E016/E021; research_evidence_package_patient_complaints_identification_failures_2026-05-30.tar.gz::Q001/Q003</x:v>
      </x:c>
    </x:row>
    <x:row r="3">
      <x:c r="A3" s="19" t="str">
        <x:v>2</x:v>
      </x:c>
      <x:c r="B3" s="19" t="str">
        <x:v>Opening assessment</x:v>
      </x:c>
      <x:c r="C3" s="19" t="str">
        <x:v>Confirm what changed, what is worst, and whether prior explanations still fit.</x:v>
      </x:c>
      <x:c r="D3" s="19" t="str">
        <x:v>Repeat-visit reset and normal-test limitation prompts when appropriate.</x:v>
      </x:c>
      <x:c r="E3" s="19" t="str">
        <x:v>Ask suggested questions based on patient-submitted concerns.</x:v>
      </x:c>
      <x:c r="F3" s="19" t="str">
        <x:v>research_evidence_package_missed_signals_diagnostic_errors_2026-05-30.tar.gz::Repeat-visit diagnostic reset; research_evidence_package_health_system_patient_flows_2026-05-30.tar.gz::FM09</x:v>
      </x:c>
    </x:row>
    <x:row r="4">
      <x:c r="A4" s="19" t="str">
        <x:v>3</x:v>
      </x:c>
      <x:c r="B4" s="19" t="str">
        <x:v>Orders and interpretation</x:v>
      </x:c>
      <x:c r="C4" s="19" t="str">
        <x:v>Order labs/imaging/referrals with clinical question and owner.</x:v>
      </x:c>
      <x:c r="D4" s="19" t="str">
        <x:v>Abnormal-result ledger, imaging-scope warning, lab-trend view, unavailable-test alternative plan.</x:v>
      </x:c>
      <x:c r="E4" s="19" t="str">
        <x:v>Explain why tests are ordered or why a normal test does not fully answer the concern.</x:v>
      </x:c>
      <x:c r="F4" s="19" t="str">
        <x:v>research_evidence_package_clinician_side_diagnostic_pain_points_2026-05-30.tar.gz::E001/E015; research_evidence_package_missed_signals_diagnostic_errors_2026-05-30.tar.gz::Closed-loop abnormal result ownership</x:v>
      </x:c>
    </x:row>
    <x:row r="5">
      <x:c r="A5" s="19" t="str">
        <x:v>4</x:v>
      </x:c>
      <x:c r="B5" s="19" t="str">
        <x:v>Referral / specialist handoff</x:v>
      </x:c>
      <x:c r="C5" s="19" t="str">
        <x:v>Send referral with clinical question, unresolved symptoms, prior tests and patient concern.</x:v>
      </x:c>
      <x:c r="D5" s="19" t="str">
        <x:v>Track status through accepted/rejected/advice-only/scheduled/attended/resulted/next-owner.</x:v>
      </x:c>
      <x:c r="E5" s="19" t="str">
        <x:v>Patient can see referral state without interpreting rejection as diagnosis exclusion.</x:v>
      </x:c>
      <x:c r="F5" s="19" t="str">
        <x:v>research_evidence_package_health_system_patient_flows_2026-05-30.tar.gz::FM10/FM11; research_evidence_package_clinician_side_diagnostic_pain_points_2026-05-30.tar.gz::E013/E014</x:v>
      </x:c>
    </x:row>
    <x:row r="6">
      <x:c r="A6" s="19" t="str">
        <x:v>5</x:v>
      </x:c>
      <x:c r="B6" s="19" t="str">
        <x:v>Discharge / follow-up</x:v>
      </x:c>
      <x:c r="C6" s="19" t="str">
        <x:v>Close each concern or mark unresolved with safety-net plan, owner and date.</x:v>
      </x:c>
      <x:c r="D6" s="19" t="str">
        <x:v>Pending-test discharge contract and overdue follow-up worklist.</x:v>
      </x:c>
      <x:c r="E6" s="19" t="str">
        <x:v>Patient receives plain-language summary and correction/escalation path.</x:v>
      </x:c>
      <x:c r="F6" s="19" t="str">
        <x:v>research_evidence_package_patient_complaints_identification_failures_2026-05-30.tar.gz::C002/C003/C010/C011; research_evidence_package_missed_signals_diagnostic_errors_2026-05-30.tar.gz::Pending-test discharge contract</x:v>
      </x:c>
    </x:row>
    <x:row r="7">
      <x:c r="A7" s="19" t="str">
        <x:v>6</x:v>
      </x:c>
      <x:c r="B7" s="19" t="str">
        <x:v>Ongoing monitoring</x:v>
      </x:c>
      <x:c r="C7" s="19" t="str">
        <x:v>Review active diagnostic episodes and trend changes.</x:v>
      </x:c>
      <x:c r="D7" s="19" t="str">
        <x:v>Show unresolved issue registry, personal baseline trends, repeat visits and patient status updates.</x:v>
      </x:c>
      <x:c r="E7" s="19" t="str">
        <x:v>Persistent symptoms remain active rather than silently archived.</x:v>
      </x:c>
      <x:c r="F7" s="19" t="str">
        <x:v>research_evidence_package_missed_signals_diagnostic_errors_2026-05-30.tar.gz::Longitudinal diagnostic signal accumulator; research_evidence_package_global_health_issue_identification_2026-05-30.tar.gz::product_or_system_implications.md</x:v>
      </x:c>
    </x:row>
  </x:sheetData>
  <x:pageMargins left="0.7" right="0.7" top="0.75" bottom="0.75" header="0.3" footer="0.3"/>
  <x:tableParts count="1">
    <x:tablePart xmlns:r="http://schemas.openxmlformats.org/officeDocument/2006/relationships" r:id="Rfb3681c8ee9d4c7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</x:cols>
  <x:sheetData>
    <x:row r="1" ht="45" customHeight="1">
      <x:c r="A1" s="18" t="str">
        <x:v>Entity/table</x:v>
      </x:c>
      <x:c r="B1" s="18" t="str">
        <x:v>Core fields</x:v>
      </x:c>
      <x:c r="C1" s="18" t="str">
        <x:v>Purpose</x:v>
      </x:c>
      <x:c r="D1" s="18" t="str">
        <x:v>Evidence refs</x:v>
      </x:c>
      <x:c r="E1" s="18" t="str">
        <x:v>Privacy/safety notes</x:v>
      </x:c>
    </x:row>
    <x:row r="2">
      <x:c r="A2" s="19" t="str">
        <x:v>Patient</x:v>
      </x:c>
      <x:c r="B2" s="19" t="str">
        <x:v>patient_id; demographics; preferred language; accessibility needs; consent settings; contact preferences</x:v>
      </x:c>
      <x:c r="C2" s="19" t="str">
        <x:v>Route communication safely and support language/access barriers.</x:v>
      </x:c>
      <x:c r="D2" s="19" t="str">
        <x:v>research_evidence_package_global_health_issue_identification_2026-05-30.tar.gz::S023/S024/S025; research_evidence_package_clinician_side_diagnostic_pain_points_2026-05-30.tar.gz::E003</x:v>
      </x:c>
      <x:c r="E2" s="19" t="str">
        <x:v>Minimize sensitive demographics; avoid ethnicity-based risk scoring.</x:v>
      </x:c>
    </x:row>
    <x:row r="3">
      <x:c r="A3" s="19" t="str">
        <x:v>Encounter</x:v>
      </x:c>
      <x:c r="B3" s="19" t="str">
        <x:v>encounter_id; patient_id; setting; date/time; arrival/registration/triage times; clinician/team; disposition</x:v>
      </x:c>
      <x:c r="C3" s="19" t="str">
        <x:v>Connect visits and identify repeat presentations or waiting-room risk.</x:v>
      </x:c>
      <x:c r="D3" s="19" t="str">
        <x:v>research_evidence_package_health_system_patient_flows_2026-05-30.tar.gz::FM01-FM09; research_evidence_package_missed_signals_diagnostic_errors_2026-05-30.tar.gz::black_zones_by_patient_stage.csv</x:v>
      </x:c>
      <x:c r="E3" s="19" t="str">
        <x:v>Use timestamps for safety, not punitive staff surveillance.</x:v>
      </x:c>
    </x:row>
    <x:row r="4">
      <x:c r="A4" s="19" t="str">
        <x:v>DiagnosticEpisode / UnresolvedProblem</x:v>
      </x:c>
      <x:c r="B4" s="19" t="str">
        <x:v>episode_id; patient_id; symptom cluster; start date; status; uncertainty; owner; linked encounters/results/referrals; next action</x:v>
      </x:c>
      <x:c r="C4" s="19" t="str">
        <x:v>Represent unresolved health issue across time.</x:v>
      </x:c>
      <x:c r="D4" s="19" t="str">
        <x:v>research_evidence_package_missed_signals_diagnostic_errors_2026-05-30.tar.gz::Longitudinal diagnostic signal accumulator; research_evidence_package_clinician_side_diagnostic_pain_points_2026-05-30.tar.gz::product implications</x:v>
      </x:c>
      <x:c r="E4" s="19" t="str">
        <x:v>Clinician-owned status; no final autonomous diagnosis.</x:v>
      </x:c>
    </x:row>
    <x:row r="5">
      <x:c r="A5" s="19" t="str">
        <x:v>SymptomTimelineEntry</x:v>
      </x:c>
      <x:c r="B5" s="19" t="str">
        <x:v>episode_id; symptom; onset; duration; severity; frequency; triggers; change from baseline; daily impact; patient words</x:v>
      </x:c>
      <x:c r="C5" s="19" t="str">
        <x:v>Capture persistent/changing symptoms and patient voice.</x:v>
      </x:c>
      <x:c r="D5" s="19" t="str">
        <x:v>research_evidence_package_patient_complaints_identification_failures_2026-05-30.tar.gz::quotes.csv; research_evidence_package_missed_signals_diagnostic_errors_2026-05-30.tar.gz::B-002/B-020/B-021</x:v>
      </x:c>
      <x:c r="E5" s="19" t="str">
        <x:v>Plain-language input; respectful normalization; patient can correct.</x:v>
      </x:c>
    </x:row>
    <x:row r="6">
      <x:c r="A6" s="19" t="str">
        <x:v>PatientConcern</x:v>
      </x:c>
      <x:c r="B6" s="19" t="str">
        <x:v>concern_id; encounter_id; quote; main fear/theory; priority; disposition; unresolved reason; follow-up</x:v>
      </x:c>
      <x:c r="C6" s="19" t="str">
        <x:v>Concern-by-concern closure and voice protection.</x:v>
      </x:c>
      <x:c r="D6" s="19" t="str">
        <x:v>research_evidence_package_patient_complaints_identification_failures_2026-05-30.tar.gz::C001/C002/Q001/Q002; research_evidence_package_clinician_side_diagnostic_pain_points_2026-05-30.tar.gz::Q004</x:v>
      </x:c>
      <x:c r="E6" s="19" t="str">
        <x:v>Separate patient quote from clinician assessment.</x:v>
      </x:c>
    </x:row>
    <x:row r="7">
      <x:c r="A7" s="19" t="str">
        <x:v>FamilyCaregiverInput</x:v>
      </x:c>
      <x:c r="B7" s="19" t="str">
        <x:v>patient_id; informant relationship; family history; deterioration concern; consent; quote; action taken</x:v>
      </x:c>
      <x:c r="C7" s="19" t="str">
        <x:v>Capture family history and caregiver deterioration signal.</x:v>
      </x:c>
      <x:c r="D7" s="19" t="str">
        <x:v>research_evidence_package_patient_complaints_identification_failures_2026-05-30.tar.gz::C004/C005/Q004/Q005; research_evidence_package_global_health_issue_identification_2026-05-30.tar.gz::C003</x:v>
      </x:c>
      <x:c r="E7" s="19" t="str">
        <x:v>Respect patient consent and confidentiality.</x:v>
      </x:c>
    </x:row>
    <x:row r="8">
      <x:c r="A8" s="19" t="str">
        <x:v>MedicationAccess</x:v>
      </x:c>
      <x:c r="B8" s="19" t="str">
        <x:v>medication; dose; adherence interruption; reason; cost/transport/supply issue; pharmacy fill if available</x:v>
      </x:c>
      <x:c r="C8" s="19" t="str">
        <x:v>Detect access barriers as diagnostic clues.</x:v>
      </x:c>
      <x:c r="D8" s="19" t="str">
        <x:v>research_evidence_package_missed_signals_diagnostic_errors_2026-05-30.tar.gz::B-013/B-031; research_evidence_package_global_health_issue_identification_2026-05-30.tar.gz::access_barrier_map.md</x:v>
      </x:c>
      <x:c r="E8" s="19" t="str">
        <x:v>Ask nonjudgmentally; mark sensitive data.</x:v>
      </x:c>
    </x:row>
    <x:row r="9">
      <x:c r="A9" s="19" t="str">
        <x:v>TestOrder</x:v>
      </x:c>
      <x:c r="B9" s="19" t="str">
        <x:v>order_id; encounter_id; clinical question; ordered date; expected result date; owner; patient instructions</x:v>
      </x:c>
      <x:c r="C9" s="19" t="str">
        <x:v>Link tests to unresolved problem and pending-result tracking.</x:v>
      </x:c>
      <x:c r="D9" s="19" t="str">
        <x:v>research_evidence_package_health_system_patient_flows_2026-05-30.tar.gz::FM08; research_evidence_package_clinician_side_diagnostic_pain_points_2026-05-30.tar.gz::E001</x:v>
      </x:c>
      <x:c r="E9" s="19" t="str">
        <x:v>Avoid assuming order means test completed.</x:v>
      </x:c>
    </x:row>
    <x:row r="10">
      <x:c r="A10" s="19" t="str">
        <x:v>TestResult / ImagingFinding</x:v>
      </x:c>
      <x:c r="B10" s="19" t="str">
        <x:v>result_id; order_id; result date; value/report; abnormality class; criticality; scope/body region; reviewed_by; patient_notified</x:v>
      </x:c>
      <x:c r="C10" s="19" t="str">
        <x:v>Result lifecycle and normal-test limitation tracking.</x:v>
      </x:c>
      <x:c r="D10" s="19" t="str">
        <x:v>research_evidence_package_missed_signals_diagnostic_errors_2026-05-30.tar.gz::B-004/B-008/B-017/B-018; research_evidence_package_patient_complaints_identification_failures_2026-05-30.tar.gz::C010/C011</x:v>
      </x:c>
      <x:c r="E10" s="19" t="str">
        <x:v>Patient-facing release requires explanation path.</x:v>
      </x:c>
    </x:row>
    <x:row r="11">
      <x:c r="A11" s="19" t="str">
        <x:v>ResultActionTask</x:v>
      </x:c>
      <x:c r="B11" s="19" t="str">
        <x:v>task_id; result_id; owner; backup owner; due date; action type; completed date; closure reason; escalation state</x:v>
      </x:c>
      <x:c r="C11" s="19" t="str">
        <x:v>Closed-loop abnormal-result ownership.</x:v>
      </x:c>
      <x:c r="D11" s="19" t="str">
        <x:v>research_evidence_package_clinician_side_diagnostic_pain_points_2026-05-30.tar.gz::E001/E015; research_evidence_package_patient_complaints_identification_failures_2026-05-30.tar.gz::C010/C011</x:v>
      </x:c>
      <x:c r="E11" s="19" t="str">
        <x:v>Escalation calibrated by criticality and context.</x:v>
      </x:c>
    </x:row>
    <x:row r="12">
      <x:c r="A12" s="19" t="str">
        <x:v>Referral</x:v>
      </x:c>
      <x:c r="B12" s="19" t="str">
        <x:v>referral_id; clinical question; destination; priority; status; reason returned; appointment date; attendance; report returned; next owner</x:v>
      </x:c>
      <x:c r="C12" s="19" t="str">
        <x:v>Referral completion transparency.</x:v>
      </x:c>
      <x:c r="D12" s="19" t="str">
        <x:v>research_evidence_package_health_system_patient_flows_2026-05-30.tar.gz::FM10/FM11; research_evidence_package_clinician_side_diagnostic_pain_points_2026-05-30.tar.gz::E013/E014</x:v>
      </x:c>
      <x:c r="E12" s="19" t="str">
        <x:v>Do not label rejection as diagnosis exclusion.</x:v>
      </x:c>
    </x:row>
    <x:row r="13">
      <x:c r="A13" s="19" t="str">
        <x:v>SafetyNetPlan</x:v>
      </x:c>
      <x:c r="B13" s="19" t="str">
        <x:v>episode_id; what remains unexplained; red flags; timeframe; who to contact; planned follow-up; patient understanding</x:v>
      </x:c>
      <x:c r="C13" s="19" t="str">
        <x:v>Specific uncertainty and follow-up plan.</x:v>
      </x:c>
      <x:c r="D13" s="19" t="str">
        <x:v>research_evidence_package_clinician_side_diagnostic_pain_points_2026-05-30.tar.gz::E004; research_evidence_package_patient_complaints_identification_failures_2026-05-30.tar.gz::C003</x:v>
      </x:c>
      <x:c r="E13" s="19" t="str">
        <x:v>Avoid panic language; give clear pathways.</x:v>
      </x:c>
    </x:row>
    <x:row r="14">
      <x:c r="A14" s="19" t="str">
        <x:v>AccessBarrier / ResourceAvailability</x:v>
      </x:c>
      <x:c r="B14" s="19" t="str">
        <x:v>barrier type; cost; transport; broadband; test availability; stockout; alternate plan; referral distance</x:v>
      </x:c>
      <x:c r="C14" s="19" t="str">
        <x:v>Resource-aware product configuration.</x:v>
      </x:c>
      <x:c r="D14" s="19" t="str">
        <x:v>research_evidence_package_global_health_issue_identification_2026-05-30.tar.gz::access_barrier_map.md; research_evidence_package_missed_signals_diagnostic_errors_2026-05-30.tar.gz::B-025/B-026/B-027; research_evidence_package_clinician_side_diagnostic_pain_points_2026-05-30.tar.gz::E020</x:v>
      </x:c>
      <x:c r="E14" s="19" t="str">
        <x:v>Aggregate infrastructure data non-punitively.</x:v>
      </x:c>
    </x:row>
    <x:row r="15">
      <x:c r="A15" s="19" t="str">
        <x:v>CommunityReferral / CHWAssessment</x:v>
      </x:c>
      <x:c r="B15" s="19" t="str">
        <x:v>CHW_id; protocol; danger signs; referral card/voucher; diagnostic voucher; attendance; counter-referral</x:v>
      </x:c>
      <x:c r="C15" s="19" t="str">
        <x:v>Connect community first-contact to formal care.</x:v>
      </x:c>
      <x:c r="D15" s="19" t="str">
        <x:v>research_evidence_package_global_health_issue_identification_2026-05-30.tar.gz::C005/C007; research_evidence_package_health_system_patient_flows_2026-05-30.tar.gz::FM12</x:v>
      </x:c>
      <x:c r="E15" s="19" t="str">
        <x:v>Only within supervised scope/training.</x:v>
      </x:c>
    </x:row>
    <x:row r="16">
      <x:c r="A16" s="19" t="str">
        <x:v>AuditEvent / ModelSafetyMetric</x:v>
      </x:c>
      <x:c r="B16" s="19" t="str">
        <x:v>flag type; clinician action; override reason; false positive/negative review; outcome; alert volume</x:v>
      </x:c>
      <x:c r="C16" s="19" t="str">
        <x:v>Measure safety, alert fatigue and bias.</x:v>
      </x:c>
      <x:c r="D16" s="19" t="str">
        <x:v>research_evidence_package_clinician_side_diagnostic_pain_points_2026-05-30.tar.gz::E001/E011; research_evidence_package_missed_signals_diagnostic_errors_2026-05-30.tar.gz::risks_and_safety_notes.md</x:v>
      </x:c>
      <x:c r="E16" s="19" t="str">
        <x:v>Safety improvement, not punitive surveillance.</x:v>
      </x:c>
    </x:row>
  </x:sheetData>
  <x:pageMargins left="0.7" right="0.7" top="0.75" bottom="0.75" header="0.3" footer="0.3"/>
  <x:tableParts count="1">
    <x:tablePart xmlns:r="http://schemas.openxmlformats.org/officeDocument/2006/relationships" r:id="Rc8bb0e1d1dee4e7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6" hidden="0" customWidth="1"/>
    <x:col min="4" max="4" width="18" hidden="0" customWidth="1"/>
    <x:col min="5" max="5" width="36" hidden="0" customWidth="1"/>
  </x:cols>
  <x:sheetData>
    <x:row r="1" ht="45" customHeight="1">
      <x:c r="A1" s="18" t="str">
        <x:v>Patient stage</x:v>
      </x:c>
      <x:c r="B1" s="18" t="str">
        <x:v>Black-zone / missed signal</x:v>
      </x:c>
      <x:c r="C1" s="18" t="str">
        <x:v>Evidence refs</x:v>
      </x:c>
      <x:c r="D1" s="18" t="str">
        <x:v>Product prevention</x:v>
      </x:c>
      <x:c r="E1" s="18" t="str">
        <x:v>Safety guardrail</x:v>
      </x:c>
    </x:row>
    <x:row r="2">
      <x:c r="A2" s="19" t="str">
        <x:v>Before visit</x:v>
      </x:c>
      <x:c r="B2" s="19" t="str">
        <x:v>Access barriers, informal/private care, persistent symptoms or high-risk history never enter stable diagnostic pathway.</x:v>
      </x:c>
      <x:c r="C2" s="19" t="str">
        <x:v>research_evidence_package_missed_signals_diagnostic_errors_2026-05-30.tar.gz::black_zones_by_patient_stage.csv::before visit; research_evidence_package_global_health_issue_identification_2026-05-30.tar.gz::C004/C005/C006; research_evidence_package_health_system_patient_flows_2026-05-30.tar.gz::FM12</x:v>
      </x:c>
      <x:c r="D2" s="19" t="str">
        <x:v>Patient-held record import; access-barrier fields; CHW/informal referral capture; incomplete-workup registry.</x:v>
      </x:c>
      <x:c r="E2" s="19" t="str">
        <x:v>Provenance labels; offline/SMS/paper mode; clinician verification.</x:v>
      </x:c>
    </x:row>
    <x:row r="3">
      <x:c r="A3" s="19" t="str">
        <x:v>Arrival / registration</x:v>
      </x:c>
      <x:c r="B3" s="19" t="str">
        <x:v>Repeat visit, family history, referral note or deterioration not visible before triage.</x:v>
      </x:c>
      <x:c r="C3" s="19" t="str">
        <x:v>research_evidence_package_missed_signals_diagnostic_errors_2026-05-30.tar.gz::black_zones_by_patient_stage.csv::arrival / registration; research_evidence_package_global_health_issue_identification_2026-05-30.tar.gz::C008; research_evidence_package_health_system_patient_flows_2026-05-30.tar.gz::FM02</x:v>
      </x:c>
      <x:c r="D3" s="19" t="str">
        <x:v>Front-door repeat-visit banner; referral-note visibility; arrival-to-assessment timer; family/caregiver concern field.</x:v>
      </x:c>
      <x:c r="E3" s="19" t="str">
        <x:v>Avoid algorithmic downgrades; registration escalation button.</x:v>
      </x:c>
    </x:row>
    <x:row r="4">
      <x:c r="A4" s="19" t="str">
        <x:v>Intake form / digital triage</x:v>
      </x:c>
      <x:c r="B4" s="19" t="str">
        <x:v>Single-symptom routing loses complexity, prior cancer/high-risk history, or patient meaning.</x:v>
      </x:c>
      <x:c r="C4" s="19" t="str">
        <x:v>research_evidence_package_clinician_side_diagnostic_pain_points_2026-05-30.tar.gz::E006/E007/Q005; research_evidence_package_health_system_patient_flows_2026-05-30.tar.gz::FM05/FM06; research_evidence_package_patient_complaints_identification_failures_2026-05-30.tar.gz::C002</x:v>
      </x:c>
      <x:c r="D4" s="19" t="str">
        <x:v>Hybrid intake: multi-symptom, free text, prior-history auto-pull, “not captured” and human-review escape hatch.</x:v>
      </x:c>
      <x:c r="E4" s="19" t="str">
        <x:v>Accessibility/language fallback; emergency warning; human override.</x:v>
      </x:c>
    </x:row>
    <x:row r="5">
      <x:c r="A5" s="19" t="str">
        <x:v>Nurse triage / vitals</x:v>
      </x:c>
      <x:c r="B5" s="19" t="str">
        <x:v>Abnormal vitals, repeat visits and red flags lose salience under cognitive strain.</x:v>
      </x:c>
      <x:c r="C5" s="19" t="str">
        <x:v>research_evidence_package_missed_signals_diagnostic_errors_2026-05-30.tar.gz::B-006/B-016; research_evidence_package_clinician_side_diagnostic_pain_points_2026-05-30.tar.gz::E010/Q010; research_evidence_package_health_system_patient_flows_2026-05-30.tar.gz::FM01/FM02</x:v>
      </x:c>
      <x:c r="D5" s="19" t="str">
        <x:v>Triage co-pilot, repeat-vital timers, deterioration check-in, acuity plus diagnostic-uncertainty view.</x:v>
      </x:c>
      <x:c r="E5" s="19" t="str">
        <x:v>Support nurse judgment; calibrated timers; monitor over-alerting.</x:v>
      </x:c>
    </x:row>
    <x:row r="6">
      <x:c r="A6" s="19" t="str">
        <x:v>First clinician assessment</x:v>
      </x:c>
      <x:c r="B6" s="19" t="str">
        <x:v>First plausible diagnosis or mental-health/age/gender label closes inquiry.</x:v>
      </x:c>
      <x:c r="C6" s="19" t="str">
        <x:v>research_evidence_package_missed_signals_diagnostic_errors_2026-05-30.tar.gz::B-003/B-020/B-021/B-024; research_evidence_package_clinician_side_diagnostic_pain_points_2026-05-30.tar.gz::E017/E018; research_evidence_package_patient_complaints_identification_failures_2026-05-30.tar.gz::Q009/Q010/Q014</x:v>
      </x:c>
      <x:c r="D6" s="19" t="str">
        <x:v>Diagnostic time-out: dangerous-to-miss alternatives, bias/misattribution guardrail, patient quote visible.</x:v>
      </x:c>
      <x:c r="E6" s="19" t="str">
        <x:v>Do not accuse; require clinician-reviewed red-flag check only when signals are discordant.</x:v>
      </x:c>
    </x:row>
    <x:row r="7">
      <x:c r="A7" s="19" t="str">
        <x:v>Medical history</x:v>
      </x:c>
      <x:c r="B7" s="19" t="str">
        <x:v>Family history, medication access, patient’s own theory, functional impact and prior test context are not integrated.</x:v>
      </x:c>
      <x:c r="C7" s="19" t="str">
        <x:v>research_evidence_package_patient_complaints_identification_failures_2026-05-30.tar.gz::C005; research_evidence_package_missed_signals_diagnostic_errors_2026-05-30.tar.gz::B-013/B-023/B-031; research_evidence_package_clinician_side_diagnostic_pain_points_2026-05-30.tar.gz::E003</x:v>
      </x:c>
      <x:c r="D7" s="19" t="str">
        <x:v>Risk-context checklist and structured timeline with patient/caregiver input.</x:v>
      </x:c>
      <x:c r="E7" s="19" t="str">
        <x:v>Sensitive-data controls and nonjudgmental wording.</x:v>
      </x:c>
    </x:row>
    <x:row r="8">
      <x:c r="A8" s="19" t="str">
        <x:v>Physical exam</x:v>
      </x:c>
      <x:c r="B8" s="19" t="str">
        <x:v>Time-sensitive exams absent or delayed; telehealth gap hides required in-person exam.</x:v>
      </x:c>
      <x:c r="C8" s="19" t="str">
        <x:v>research_evidence_package_missed_signals_diagnostic_errors_2026-05-30.tar.gz::black_zones_by_patient_stage.csv::physical exam; research_evidence_package_patient_complaints_identification_failures_2026-05-30.tar.gz::S033; research_evidence_package_health_system_patient_flows_2026-05-30.tar.gz::S14</x:v>
      </x:c>
      <x:c r="D8" s="19" t="str">
        <x:v>Complaint-linked exam checklist; telehealth-to-in-person conversion criteria; timer for torsion/appendicitis-like pathways.</x:v>
      </x:c>
      <x:c r="E8" s="19" t="str">
        <x:v>Clinician override; avoid rigid protocols.</x:v>
      </x:c>
    </x:row>
    <x:row r="9">
      <x:c r="A9" s="19" t="str">
        <x:v>Labs / imaging ordered</x:v>
      </x:c>
      <x:c r="B9" s="19" t="str">
        <x:v>Wrong test, no test, stockout, or wrong imaging scope.</x:v>
      </x:c>
      <x:c r="C9" s="19" t="str">
        <x:v>research_evidence_package_missed_signals_diagnostic_errors_2026-05-30.tar.gz::B-004/B-026/B-027; research_evidence_package_clinician_side_diagnostic_pain_points_2026-05-30.tar.gz::E020; research_evidence_package_health_system_patient_flows_2026-05-30.tar.gz::FM03</x:v>
      </x:c>
      <x:c r="D9" s="19" t="str">
        <x:v>Order-set suggestions; imaging-scope warning; unavailable-test alternate plan; resource availability capture.</x:v>
      </x:c>
      <x:c r="E9" s="19" t="str">
        <x:v>Do not force testing; adapt to local resources.</x:v>
      </x:c>
    </x:row>
    <x:row r="10">
      <x:c r="A10" s="19" t="str">
        <x:v>Lab / imaging interpretation</x:v>
      </x:c>
      <x:c r="B10" s="19" t="str">
        <x:v>Abnormal result exists but is not communicated, acknowledged or acted on.</x:v>
      </x:c>
      <x:c r="C10" s="19" t="str">
        <x:v>research_evidence_package_missed_signals_diagnostic_errors_2026-05-30.tar.gz::B-008/B-011/B-012/B-017/B-018; research_evidence_package_patient_complaints_identification_failures_2026-05-30.tar.gz::C010/C011; research_evidence_package_clinician_side_diagnostic_pain_points_2026-05-30.tar.gz::E001/E015</x:v>
      </x:c>
      <x:c r="D10" s="19" t="str">
        <x:v>Result/finding lifecycle tracker, owner/deadline, critical semantics, patient notification status.</x:v>
      </x:c>
      <x:c r="E10" s="19" t="str">
        <x:v>Risk-ranked worklist and backup owner; explanation path for patient release.</x:v>
      </x:c>
    </x:row>
    <x:row r="11">
      <x:c r="A11" s="19" t="str">
        <x:v>Diagnosis discussion / discharge</x:v>
      </x:c>
      <x:c r="B11" s="19" t="str">
        <x:v>Uncertainty, pending tests and unresolved symptoms disappear from patient plan.</x:v>
      </x:c>
      <x:c r="C11" s="19" t="str">
        <x:v>research_evidence_package_missed_signals_diagnostic_errors_2026-05-30.tar.gz::Pending-test discharge contract; research_evidence_package_patient_complaints_identification_failures_2026-05-30.tar.gz::C003/Q003; research_evidence_package_clinician_side_diagnostic_pain_points_2026-05-30.tar.gz::E004</x:v>
      </x:c>
      <x:c r="D11" s="19" t="str">
        <x:v>Concern-by-concern closure; “what remains unexplained”; pending-test contract; specific safety-net.</x:v>
      </x:c>
      <x:c r="E11" s="19" t="str">
        <x:v>Avoid panic; plain language and clear contact routes.</x:v>
      </x:c>
    </x:row>
    <x:row r="12">
      <x:c r="A12" s="19" t="str">
        <x:v>Referral</x:v>
      </x:c>
      <x:c r="B12" s="19" t="str">
        <x:v>Referral delayed, wrong, rejected, advice-only or never completed.</x:v>
      </x:c>
      <x:c r="C12" s="19" t="str">
        <x:v>research_evidence_package_health_system_patient_flows_2026-05-30.tar.gz::FM10/FM11; research_evidence_package_clinician_side_diagnostic_pain_points_2026-05-30.tar.gz::E013/E014; research_evidence_package_patient_complaints_identification_failures_2026-05-30.tar.gz::C006</x:v>
      </x:c>
      <x:c r="D12" s="19" t="str">
        <x:v>Referral status taxonomy and completion tracker with next owner.</x:v>
      </x:c>
      <x:c r="E12" s="19" t="str">
        <x:v>Distinguish administrative status from diagnostic conclusion.</x:v>
      </x:c>
    </x:row>
    <x:row r="13">
      <x:c r="A13" s="19" t="str">
        <x:v>Follow-up / repeat visit</x:v>
      </x:c>
      <x:c r="B13" s="19" t="str">
        <x:v>Return visits do not cause diagnostic reset.</x:v>
      </x:c>
      <x:c r="C13" s="19" t="str">
        <x:v>research_evidence_package_missed_signals_diagnostic_errors_2026-05-30.tar.gz::B-006/B-010/B-028/B-030; research_evidence_package_health_system_patient_flows_2026-05-30.tar.gz::FM09; research_evidence_package_global_health_issue_identification_2026-05-30.tar.gz::C001</x:v>
      </x:c>
      <x:c r="D13" s="19" t="str">
        <x:v>Repeat-visit diagnostic reset and symptom-still-present check-ins.</x:v>
      </x:c>
      <x:c r="E13" s="19" t="str">
        <x:v>Thresholds by setting; do not punish returns.</x:v>
      </x:c>
    </x:row>
    <x:row r="14">
      <x:c r="A14" s="19" t="str">
        <x:v>Specialist review</x:v>
      </x:c>
      <x:c r="B14" s="19" t="str">
        <x:v>Specialist sees one slice, wrong chart, remote note, or wrong specialty.</x:v>
      </x:c>
      <x:c r="C14" s="19" t="str">
        <x:v>research_evidence_package_missed_signals_diagnostic_errors_2026-05-30.tar.gz::black_zones_by_patient_stage.csv::specialist review; research_evidence_package_clinician_side_diagnostic_pain_points_2026-05-30.tar.gz::E013/E014</x:v>
      </x:c>
      <x:c r="D14" s="19" t="str">
        <x:v>Cross-specialty summary pane, identity verification, clinical question and unresolved-pattern map.</x:v>
      </x:c>
      <x:c r="E14" s="19" t="str">
        <x:v>Source-linked and local referral criteria.</x:v>
      </x:c>
    </x:row>
    <x:row r="15">
      <x:c r="A15" s="19" t="str">
        <x:v>Long-term monitoring</x:v>
      </x:c>
      <x:c r="B15" s="19" t="str">
        <x:v>Slow trends and chronic invalidation hide deterioration.</x:v>
      </x:c>
      <x:c r="C15" s="19" t="str">
        <x:v>research_evidence_package_missed_signals_diagnostic_errors_2026-05-30.tar.gz::black_zones_by_patient_stage.csv::long-term monitoring; research_evidence_package_patient_complaints_identification_failures_2026-05-30.tar.gz::Q011; research_evidence_package_health_system_patient_flows_2026-05-30.tar.gz::S53/S54</x:v>
      </x:c>
      <x:c r="D15" s="19" t="str">
        <x:v>Trend explorer, functional status, quality-of-life, unresolved-problem registry.</x:v>
      </x:c>
      <x:c r="E15" s="19" t="str">
        <x:v>Clinical validation before alerts; avoid anxiety loops.</x:v>
      </x:c>
    </x:row>
  </x:sheetData>
  <x:pageMargins left="0.7" right="0.7" top="0.75" bottom="0.75" header="0.3" footer="0.3"/>
  <x:tableParts count="1">
    <x:tablePart xmlns:r="http://schemas.openxmlformats.org/officeDocument/2006/relationships" r:id="Rdfadf85c1bbc465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48" hidden="0" customWidth="1"/>
    <x:col min="4" max="4" width="52" hidden="0" customWidth="1"/>
    <x:col min="5" max="5" width="28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42" hidden="0" customWidth="1"/>
    <x:col min="11" max="11" width="42" hidden="0" customWidth="1"/>
    <x:col min="12" max="12" width="38" hidden="0" customWidth="1"/>
    <x:col min="13" max="13" width="44" hidden="0" customWidth="1"/>
    <x:col min="14" max="14" width="18" hidden="0" customWidth="1"/>
  </x:cols>
  <x:sheetData>
    <x:row r="1" ht="45" customHeight="1">
      <x:c r="A1" s="18" t="str">
        <x:v>Feature name</x:v>
      </x:c>
      <x:c r="B1" s="18" t="str">
        <x:v>User</x:v>
      </x:c>
      <x:c r="C1" s="18" t="str">
        <x:v>Problem solved</x:v>
      </x:c>
      <x:c r="D1" s="18" t="str">
        <x:v>Evidence supporting it</x:v>
      </x:c>
      <x:c r="E1" s="18" t="str">
        <x:v>Patient-stage</x:v>
      </x:c>
      <x:c r="F1" s="18" t="str">
        <x:v>Data needed</x:v>
      </x:c>
      <x:c r="G1" s="18" t="str">
        <x:v>Risk level</x:v>
      </x:c>
      <x:c r="H1" s="18" t="str">
        <x:v>Complexity</x:v>
      </x:c>
      <x:c r="I1" s="18" t="str">
        <x:v>Expected value</x:v>
      </x:c>
      <x:c r="J1" s="18" t="str">
        <x:v>Failure mode</x:v>
      </x:c>
      <x:c r="K1" s="18" t="str">
        <x:v>Safety guardrail</x:v>
      </x:c>
      <x:c r="L1" s="18" t="str">
        <x:v>Example quote or case</x:v>
      </x:c>
      <x:c r="M1" s="18" t="str">
        <x:v>Source links</x:v>
      </x:c>
      <x:c r="N1" s="18" t="str">
        <x:v>Status</x:v>
      </x:c>
    </x:row>
    <x:row r="2">
      <x:c r="A2" s="19" t="str">
        <x:v>Diagnostic episode layer / unresolved-problem tracker</x:v>
      </x:c>
      <x:c r="B2" s="19" t="str">
        <x:v>doctor; nurse; patient; specialist; admin</x:v>
      </x:c>
      <x:c r="C2" s="19" t="str">
        <x:v>Repeated visits, tests, referrals, messages and persistent symptoms are treated as separate encounters instead of one unresolved diagnostic thread.</x:v>
      </x:c>
      <x:c r="D2" s="19" t="str">
        <x:v>research_evidence_package_health_system_patient_flows_2026-05-30.tar.gz::04_topic_outputs/diagrams_or_flows/flow_maps.csv::FM09; S20; S21; research_evidence_package_missed_signals_diagnostic_errors_2026-05-30.tar.gz::04_topic_outputs/other_outputs/product_opportunities.csv::Longitudinal diagnostic signal accumulator; B-001/B-009/B-014/B-020/B-021; research_evidence_package_patient_complaints_identification_failures_2026-05-30.tar.gz::02_extracted_evidence/cases_or_examples.csv::C008; research_evidence_package_clinician_side_diagnostic_pain_points_2026-05-30.tar.gz::02_extracted_evidence/evidence_items.csv::E005; research_evidence_package_global_health_issue_identification_2026-05-30.tar.gz::02_extracted_evidence/cases_or_examples.csv::C001</x:v>
      </x:c>
      <x:c r="E2" s="19" t="str">
        <x:v>medical history; follow-up; repeat visit; specialist review; long-term monitoring</x:v>
      </x:c>
      <x:c r="F2" s="19" t="str">
        <x:v>Symptoms with dates; prior visits; prior diagnoses; family/high-risk history; labs/imaging; referrals; follow-up tasks; patient concern status.</x:v>
      </x:c>
      <x:c r="G2" s="19" t="str">
        <x:v>High</x:v>
      </x:c>
      <x:c r="H2" s="19" t="str">
        <x:v>High</x:v>
      </x:c>
      <x:c r="I2" s="19" t="str">
        <x:v>Very high</x:v>
      </x:c>
      <x:c r="J2" s="19" t="str">
        <x:v>Creates noisy clusters or false reassurance if an issue is marked resolved too early.</x:v>
      </x:c>
      <x:c r="K2" s="19" t="str">
        <x:v>Every issue has status, owner, next action, uncertainty statement, and manual clinician override; monitor false positives and missed escalations.</x:v>
      </x:c>
      <x:c r="L2" s="19" t="str">
        <x:v>Brian continuity-of-care delayed metastatic cancer diagnosis; anemia/colon cancer and long-COVID/POTS slow-pattern cases.</x:v>
      </x:c>
      <x:c r="M2" s="19" t="str">
        <x:v>https://www.hssib.org.uk/patient-safety-investigations/continuity-of-care-delayed-diagnosis-in-gp-practices/investigation-report/pdf/
https://www.england.nhs.uk/long-read/jesss-rule-three-strikes-and-we-rethink/
https://psnet.ahrq.gov/web-mm/anemia-and-delayed-colon-cancer-diagnosis
https://psnet.ahrq.gov/web-mm/delayed-diagnosis-mesenteric-ischemia
https://psnet.ahrq.gov/web-mm/delayed-diagnosis-endocrinologic-emergencies
https://www.sciencedirect.com/science/article/pii/S2667321522001299
https://www.dysautonomiainternational.org/page.php?ID=184
https://www.hssib.org.uk/patient-safety-investigations/continuity-of-care-delayed-diagnosis-in-gp-practices/</x:v>
      </x:c>
      <x:c r="N2" s="19" t="str">
        <x:v>strongly supported</x:v>
      </x:c>
    </x:row>
    <x:row r="3">
      <x:c r="A3" s="19" t="str">
        <x:v>Rich patient intake timeline with change-from-baseline</x:v>
      </x:c>
      <x:c r="B3" s="19" t="str">
        <x:v>patient; caregiver; nurse; doctor</x:v>
      </x:c>
      <x:c r="C3" s="19" t="str">
        <x:v>Current intake often captures a chief complaint but loses timeline, functional impact, patient fear, prior failed contacts, and what changed from normal.</x:v>
      </x:c>
      <x:c r="D3" s="19" t="str">
        <x:v>research_evidence_package_health_system_patient_flows_2026-05-30.tar.gz::flow_maps.csv::FM05/FM06/FM07; 02_extracted_evidence/evidence_items.csv::E011; research_evidence_package_clinician_side_diagnostic_pain_points_2026-05-30.tar.gz::02_extracted_evidence/evidence_items.csv::E003/E006/E007; research_evidence_package_patient_complaints_identification_failures_2026-05-30.tar.gz::02_extracted_evidence/cases_or_examples.csv::C001/C002/C005; research_evidence_package_missed_signals_diagnostic_errors_2026-05-30.tar.gz::cases_or_examples.csv::B-002/B-023</x:v>
      </x:c>
      <x:c r="E3" s="19" t="str">
        <x:v>before visit; intake form; medical history</x:v>
      </x:c>
      <x:c r="F3" s="19" t="str">
        <x:v>Free-text patient words; structured symptoms; onset/duration; severity; daily impact; patient theory/fear; prior tests; diagnoses; family history; medications; photos/documents.</x:v>
      </x:c>
      <x:c r="G3" s="19" t="str">
        <x:v>Medium</x:v>
      </x:c>
      <x:c r="H3" s="19" t="str">
        <x:v>Medium</x:v>
      </x:c>
      <x:c r="I3" s="19" t="str">
        <x:v>High</x:v>
      </x:c>
      <x:c r="J3" s="19" t="str">
        <x:v>Long intake creates burden, excludes low-literacy users, or overweights patient self-diagnosis.</x:v>
      </x:c>
      <x:c r="K3" s="19" t="str">
        <x:v>Adaptive short form; plain language; translation and caregiver mode; separate patient narrative from clinician assessment; emergency escalation language.</x:v>
      </x:c>
      <x:c r="L3" s="19" t="str">
        <x:v>Patient complaint: “I felt completely dismissed and silenced”; online consultation case where prior skin-cancer history was not joined.</x:v>
      </x:c>
      <x:c r="M3" s="19" t="str">
        <x:v>https://www.careopinion.org.uk/1429947
https://www.careopinion.org.uk/1258944
https://link.springer.com/article/10.1007/s11606-019-05343-6
https://www.hssib.org.uk/patient-safety-investigations/workforce-and-patient-safety/second-investigation-report/
https://psnet.ahrq.gov/web-mm/endometriosis-common-and-commonly-missed-and-delayed-diagnosis
https://www.popsugar.com/health/how-i-got-my-lupus-diagnosis-personal-essay-49345999</x:v>
      </x:c>
      <x:c r="N3" s="19" t="str">
        <x:v>strongly supported</x:v>
      </x:c>
    </x:row>
    <x:row r="4">
      <x:c r="A4" s="19" t="str">
        <x:v>Repeat-visit diagnostic reset trigger</x:v>
      </x:c>
      <x:c r="B4" s="19" t="str">
        <x:v>doctor; nurse triage; urgent care; ED; primary care</x:v>
      </x:c>
      <x:c r="C4" s="19" t="str">
        <x:v>Return visits for the same or worsening complaint are handled as fresh visits rather than safety signals.</x:v>
      </x:c>
      <x:c r="D4" s="19" t="str">
        <x:v>research_evidence_package_missed_signals_diagnostic_errors_2026-05-30.tar.gz::product_opportunities.csv::Repeat-visit diagnostic reset; B-006/B-010/B-028/B-030; research_evidence_package_health_system_patient_flows_2026-05-30.tar.gz::flow_maps.csv::FM09; 02_extracted_evidence/cases_or_examples.csv::C002/C009; research_evidence_package_clinician_side_diagnostic_pain_points_2026-05-30.tar.gz::cases_or_examples.csv::C003; research_evidence_package_global_health_issue_identification_2026-05-30.tar.gz::cases_or_examples.csv::C001</x:v>
      </x:c>
      <x:c r="E4" s="19" t="str">
        <x:v>arrival; nurse triage; first clinician assessment; repeat visit; emergency escalation</x:v>
      </x:c>
      <x:c r="F4" s="19" t="str">
        <x:v>Encounter dates; presenting complaints; symptom similarity; discharge diagnosis; deterioration markers; new vitals/labs; prior safety-net instructions.</x:v>
      </x:c>
      <x:c r="G4" s="19" t="str">
        <x:v>High</x:v>
      </x:c>
      <x:c r="H4" s="19" t="str">
        <x:v>Medium</x:v>
      </x:c>
      <x:c r="I4" s="19" t="str">
        <x:v>Very high</x:v>
      </x:c>
      <x:c r="J4" s="19" t="str">
        <x:v>Alert fatigue or punitive framing toward appropriate return visits.</x:v>
      </x:c>
      <x:c r="K4" s="19" t="str">
        <x:v>Trigger only on meaningful persistence/worsening/repeat count; present as diagnostic reset support; require clinician acknowledgment and override rationale.</x:v>
      </x:c>
      <x:c r="L4" s="19" t="str">
        <x:v>Pediatric sepsis, appendicitis, TB/COVID co-occurrence and testicular torsion cases in Research B; Jess’s Rule / three-strikes rethink flow in Research A.</x:v>
      </x:c>
      <x:c r="M4" s="19" t="str">
        <x:v>https://psnet.ahrq.gov/web-mm/do-not-miss-sepsis-needles-viral-haystacks
https://psnet.ahrq.gov/web-mm/missed-appendicitis
https://wwwnc.cdc.gov/eid/article/30/1/23-0924_article
https://betsylehmancenterma.gov/best-practices/diagnostic-error/case-studies
https://www.hssib.org.uk/patient-safety-investigations/continuity-of-care-delayed-diagnosis-in-gp-practices/investigation-report/pdf/
https://www.england.nhs.uk/long-read/jesss-rule-three-strikes-and-we-rethink/
https://www.hssib.org.uk/patient-safety-investigations/continuity-of-care-delayed-diagnosis-in-gp-practices/investigation-report/</x:v>
      </x:c>
      <x:c r="N4" s="19" t="str">
        <x:v>strongly supported</x:v>
      </x:c>
    </x:row>
    <x:row r="5">
      <x:c r="A5" s="19" t="str">
        <x:v>Closed-loop abnormal result ownership ledger</x:v>
      </x:c>
      <x:c r="B5" s="19" t="str">
        <x:v>doctor; nurse; admin; patient; specialist</x:v>
      </x:c>
      <x:c r="C5" s="19" t="str">
        <x:v>Abnormal lab, imaging, microbiology or histology results can be seen, filed, or lost without clear action, patient notification, or accountable owner.</x:v>
      </x:c>
      <x:c r="D5" s="19" t="str">
        <x:v>research_evidence_package_clinician_side_diagnostic_pain_points_2026-05-30.tar.gz::evidence_items.csv::E001/E015; research_evidence_package_missed_signals_diagnostic_errors_2026-05-30.tar.gz::product_opportunities.csv::Closed-loop abnormal result ownership; B-011/B-012/B-015/B-017/B-018; research_evidence_package_patient_complaints_identification_failures_2026-05-30.tar.gz::cases_or_examples.csv::C010/C011; sources S013/S014/S035; research_evidence_package_health_system_patient_flows_2026-05-30.tar.gz::flow_maps.csv::FM08; sources S19/S24/S25; research_evidence_package_global_health_issue_identification_2026-05-30.tar.gz::cases_or_examples.csv::C002</x:v>
      </x:c>
      <x:c r="E5" s="19" t="str">
        <x:v>lab interpretation; imaging interpretation; discharge; follow-up</x:v>
      </x:c>
      <x:c r="F5" s="19" t="str">
        <x:v>Order, result, abnormality class, criticality, reviewer, owner, backup owner, deadline, action, patient-notified status, closure reason.</x:v>
      </x:c>
      <x:c r="G5" s="19" t="str">
        <x:v>High</x:v>
      </x:c>
      <x:c r="H5" s="19" t="str">
        <x:v>High</x:v>
      </x:c>
      <x:c r="I5" s="19" t="str">
        <x:v>Very high</x:v>
      </x:c>
      <x:c r="J5" s="19" t="str">
        <x:v>More alerts without ownership; patients receive alarming results without interpretation.</x:v>
      </x:c>
      <x:c r="K5" s="19" t="str">
        <x:v>Risk-ranked worklist; escalation by criticality; backup owner; patient notification only with pathway to explanation; audit overdue closures.</x:v>
      </x:c>
      <x:c r="L5" s="19" t="str">
        <x:v>Positive prostate cancer histology not actioned for about six months; critical echocardiogram result lost to follow-up.</x:v>
      </x:c>
      <x:c r="M5" s="19" t="str">
        <x:v>https://jamanetwork.com/journals/jamainternalmedicine/fullarticle/1657753
https://pmc.ncbi.nlm.nih.gov/articles/PMC6450327/
https://psnet.ahrq.gov/web-mm/out-sight-out-mind-out-office-test-result-management
https://psnet.ahrq.gov/web-mm/delayed-recognition-positive-blood-culture
https://psnet.ahrq.gov/web-mm/myasthenia-crisis-after-delayed-diagnosis-medically-complex-patient
https://psnet.ahrq.gov/web-mm/critical-echocardiogram-result-lost-follow
https://www.hssib.org.uk/patient-safety-investigations/failures-in-communication-or-follow-up-of-unexpected-significant-radiological-findings/investigation-report/
https://www.hdc.org.nz/decisions/search-decisions/2025/22hdc02105/
https://www.hdc.org.nz/decisions/search-decisions/2012/10hdc01419/
https://www.cqc.org.uk/guidance-regulation/gps/gp-mythbusters
https://www.ombudsman.org.uk/news-and-blog/news/patients-being-harmed-due-repeated-mistakes-reading-scans
https://www.hssib.org.uk/patient-safety-investigations/failures-in-communication-or-follow-up-of-unexpected-significant-radiological-findings/</x:v>
      </x:c>
      <x:c r="N5" s="19" t="str">
        <x:v>strongly supported</x:v>
      </x:c>
    </x:row>
    <x:row r="6">
      <x:c r="A6" s="19" t="str">
        <x:v>Referral completion and transparency tracker</x:v>
      </x:c>
      <x:c r="B6" s="19" t="str">
        <x:v>doctor; patient; admin; specialist</x:v>
      </x:c>
      <x:c r="C6" s="19" t="str">
        <x:v>Referral placement is confused with completed specialty assessment; rejection, advice-only, wrong specialty, missing information, scheduling failure, and non-attendance are invisible.</x:v>
      </x:c>
      <x:c r="D6" s="19" t="str">
        <x:v>research_evidence_package_health_system_patient_flows_2026-05-30.tar.gz::flow_maps.csv::FM10/FM11; sources S27/S28/S29; research_evidence_package_clinician_side_diagnostic_pain_points_2026-05-30.tar.gz::evidence_items.csv::E013/E014; research_evidence_package_patient_complaints_identification_failures_2026-05-30.tar.gz::cases_or_examples.csv::C006/C016; reviews R007/R008; research_evidence_package_global_health_issue_identification_2026-05-30.tar.gz::cases_or_examples.csv::C005/C006; research_evidence_package_missed_signals_diagnostic_errors_2026-05-30.tar.gz::cases_or_examples.csv::B-005/B-029/B-032</x:v>
      </x:c>
      <x:c r="E6" s="19" t="str">
        <x:v>referral; specialist review; follow-up</x:v>
      </x:c>
      <x:c r="F6" s="19" t="str">
        <x:v>Referral request, clinical question, attachments, priority, destination, status, reason returned/rejected, appointment date, attendance, specialist response, next owner.</x:v>
      </x:c>
      <x:c r="G6" s="19" t="str">
        <x:v>High</x:v>
      </x:c>
      <x:c r="H6" s="19" t="str">
        <x:v>High</x:v>
      </x:c>
      <x:c r="I6" s="19" t="str">
        <x:v>Very high</x:v>
      </x:c>
      <x:c r="J6" s="19" t="str">
        <x:v>Status labels are ambiguous or patients interpret pathway absence as diagnostic exclusion.</x:v>
      </x:c>
      <x:c r="K6" s="19" t="str">
        <x:v>Separate “no pathway”, “more info needed”, “wrong service”, “clinical advice only”, and “diagnosis ruled out”; require follow-up owner for advice-only outcomes.</x:v>
      </x:c>
      <x:c r="L6" s="19" t="str">
        <x:v>Adult ADHD referral rejected without meeting patient; specialist advice “discuss with” rather than “refer to” risk.</x:v>
      </x:c>
      <x:c r="M6" s="19" t="str">
        <x:v>https://digital.nhs.uk/services/e-referral-service/document-library/referral-assessment-services
https://digital.nhs.uk/services/e-referral-service/document-library/diagnostic-services
https://www.england.nhs.uk/long-read/outpatient-recovery-and-transformation-improvement-guide/
https://pmc.ncbi.nlm.nih.gov/articles/PMC9328695/
https://bmjopenquality.bmj.com/content/10/4/e001603
https://www.careopinion.org.uk/1167674
https://people.com/22-year-old-diagnosed-with-terminal-cancer-after-docs-dismiss-symptoms-11855746
https://journals.plos.org/globalpublichealth/article?id=10.1371%2Fjournal.pgph.0004416
https://link.springer.com/article/10.1186/s12913-021-07438-5</x:v>
      </x:c>
      <x:c r="N6" s="19" t="str">
        <x:v>strongly supported</x:v>
      </x:c>
    </x:row>
    <x:row r="7">
      <x:c r="A7" s="19" t="str">
        <x:v>Normal-test trap explainer and persistent-symptom safety net</x:v>
      </x:c>
      <x:c r="B7" s="19" t="str">
        <x:v>doctor; nurse; patient</x:v>
      </x:c>
      <x:c r="C7" s="19" t="str">
        <x:v>Normal or old tests can close an encounter even when symptoms remain severe, persistent, anatomically discordant, episodic, or outside the test’s scope.</x:v>
      </x:c>
      <x:c r="D7" s="19" t="str">
        <x:v>research_evidence_package_missed_signals_diagnostic_errors_2026-05-30.tar.gz::product_opportunities.csv::Normal-test trap explainer; B-001/B-003/B-004/B-016; research_evidence_package_patient_complaints_identification_failures_2026-05-30.tar.gz::cases_or_examples.csv::C003/C007; quote Q003; research_evidence_package_health_system_patient_flows_2026-05-30.tar.gz::main_report.md::normal-test trap; flow FM09; research_evidence_package_global_health_issue_identification_2026-05-30.tar.gz::practical_implications.md::pair normal test results with symptom status</x:v>
      </x:c>
      <x:c r="E7" s="19" t="str">
        <x:v>lab interpretation; imaging interpretation; diagnosis discussion; discharge; follow-up</x:v>
      </x:c>
      <x:c r="F7" s="19" t="str">
        <x:v>Test date, scope/body region, symptom status during test, result status, test limitations text, unresolved symptoms, safety-net plan.</x:v>
      </x:c>
      <x:c r="G7" s="19" t="str">
        <x:v>High</x:v>
      </x:c>
      <x:c r="H7" s="19" t="str">
        <x:v>Medium</x:v>
      </x:c>
      <x:c r="I7" s="19" t="str">
        <x:v>High</x:v>
      </x:c>
      <x:c r="J7" s="19" t="str">
        <x:v>May promote overtesting or patient anxiety if phrased as “test missed something.”</x:v>
      </x:c>
      <x:c r="K7" s="19" t="str">
        <x:v>Use uncertainty language; show what remains unexplained; avoid automatic diagnosis; tie next steps to clinician-reviewed safety net.</x:v>
      </x:c>
      <x:c r="L7" s="19" t="str">
        <x:v>Patient after normal bloods/CXR: “Still in severe pain and still have no idea”; PE after clear CXR; PSVT normal when asymptomatic.</x:v>
      </x:c>
      <x:c r="M7" s="19" t="str">
        <x:v>https://psnet.ahrq.gov/web-mm/anemia-and-delayed-colon-cancer-diagnosis
https://psnet.ahrq.gov/web-mm/paroxysmal-supraventricular-tachycardia-masquerading-panic-attacks
https://psnet.ahrq.gov/web-mm/spinal-epidural-abscess
https://psnet.ahrq.gov/web-mm/missing-large-vessel-occlusion-stroke-patient-history-seizures
https://www.careopinion.org.uk/1117906
https://www.ombudsman.org.uk/publications/broken-trust-making-patient-safety-more-just-promise-report/broken-trust-our-casework-evidence-clinical-failings</x:v>
      </x:c>
      <x:c r="N7" s="19" t="str">
        <x:v>strongly supported</x:v>
      </x:c>
    </x:row>
    <x:row r="8">
      <x:c r="A8" s="19" t="str">
        <x:v>Patient voice protection: verbatim concern + correction path</x:v>
      </x:c>
      <x:c r="B8" s="19" t="str">
        <x:v>patient; caregiver; doctor; nurse</x:v>
      </x:c>
      <x:c r="C8" s="19" t="str">
        <x:v>Patients report that histories are cut off, symptoms are minimized, and what matters to them is not documented in a way that survives the visit.</x:v>
      </x:c>
      <x:c r="D8" s="19" t="str">
        <x:v>research_evidence_package_patient_complaints_identification_failures_2026-05-30.tar.gz::quotes.csv::Q001/Q003/Q004/Q018/Q019/Q020; research_evidence_package_health_system_patient_flows_2026-05-30.tar.gz::quotes.csv::Q001/Q002/Q003/Q004; research_evidence_package_missed_signals_diagnostic_errors_2026-05-30.tar.gz::quotes.csv::Q-001/Q-004/Q-005/Q-007; research_evidence_package_clinician_side_diagnostic_pain_points_2026-05-30.tar.gz::quotes.csv::Q001/Q004</x:v>
      </x:c>
      <x:c r="E8" s="19" t="str">
        <x:v>intake form; medical history; diagnosis discussion; discharge; follow-up</x:v>
      </x:c>
      <x:c r="F8" s="19" t="str">
        <x:v>Patient quote, top concern, fear of missed disease, functional impact, caregiver concern, clinician response/disposition, patient correction/comment after visit.</x:v>
      </x:c>
      <x:c r="G8" s="19" t="str">
        <x:v>Medium</x:v>
      </x:c>
      <x:c r="H8" s="19" t="str">
        <x:v>Medium</x:v>
      </x:c>
      <x:c r="I8" s="19" t="str">
        <x:v>High</x:v>
      </x:c>
      <x:c r="J8" s="19" t="str">
        <x:v>Could escalate conflict or turn patient language into stigmatizing chart labels.</x:v>
      </x:c>
      <x:c r="K8" s="19" t="str">
        <x:v>Separate patient voice from clinical assessment; respectful language normalization; patient-visible summary corrections; no automated accusation of dismissal.</x:v>
      </x:c>
      <x:c r="L8" s="19" t="str">
        <x:v>Negative quotes: “I felt completely dismissed and silenced”; positive counter-pattern: “Gave me time whilst he listened.”</x:v>
      </x:c>
      <x:c r="M8" s="19" t="str">
        <x:v>https://www.careopinion.org.uk/1429947
https://www.careopinion.org.uk/1117906
https://www.careopinion.org.uk/1349233
https://www.careopinion.org.uk/1333013
https://www.careopinion.org.uk/1065736
https://www.careopinion.org.uk/1328982
https://psnet.ahrq.gov/web-mm/endometriosis-common-and-commonly-missed-and-delayed-diagnosis
https://www.dysautonomiainternational.org/page.php?ID=184
https://www.theguardian.com/society/article/2024/jul/22/devon-woman-with-me-asked-gp-to-help-her-get-enough-food-to-live-inquest-hears
https://www.popsugar.com/health/how-i-got-my-lupus-diagnosis-personal-essay-49345999</x:v>
      </x:c>
      <x:c r="N8" s="19" t="str">
        <x:v>strongly supported</x:v>
      </x:c>
    </x:row>
    <x:row r="9">
      <x:c r="A9" s="19" t="str">
        <x:v>Concern-by-concern visit closure</x:v>
      </x:c>
      <x:c r="B9" s="19" t="str">
        <x:v>doctor; patient; nurse; caregiver</x:v>
      </x:c>
      <x:c r="C9" s="19" t="str">
        <x:v>Multi-issue visits can close one symptom while leaving other patient-listed concerns unresolved without visible disposition.</x:v>
      </x:c>
      <x:c r="D9" s="19" t="str">
        <x:v>research_evidence_package_patient_complaints_identification_failures_2026-05-30.tar.gz::cases_or_examples.csv::C002; quote Q002; research_evidence_package_clinician_side_diagnostic_pain_points_2026-05-30.tar.gz::evidence_items.csv::E004; research_evidence_package_health_system_patient_flows_2026-05-30.tar.gz::practical_implications.md::specific safety-netting and follow-up</x:v>
      </x:c>
      <x:c r="E9" s="19" t="str">
        <x:v>diagnosis discussion; discharge; follow-up</x:v>
      </x:c>
      <x:c r="F9" s="19" t="str">
        <x:v>Patient-listed concern list, clinician disposition for each, unresolved reason, follow-up owner/date, safety-net advice.</x:v>
      </x:c>
      <x:c r="G9" s="19" t="str">
        <x:v>Medium</x:v>
      </x:c>
      <x:c r="H9" s="19" t="str">
        <x:v>Low-medium</x:v>
      </x:c>
      <x:c r="I9" s="19" t="str">
        <x:v>High</x:v>
      </x:c>
      <x:c r="J9" s="19" t="str">
        <x:v>Adds documentation burden or gives false sense all issues can be solved in one visit.</x:v>
      </x:c>
      <x:c r="K9" s="19" t="str">
        <x:v>Allow “deferred with plan” disposition; keep closure concise; prioritize safety-critical unresolved concerns.</x:v>
      </x:c>
      <x:c r="L9" s="19" t="str">
        <x:v>Autistic patient brought multiple concerns; only acid reflux reportedly addressed.</x:v>
      </x:c>
      <x:c r="M9" s="19" t="str">
        <x:v>https://www.careopinion.org.uk/1258944
https://link.springer.com/article/10.1186/s12875-024-02526-x</x:v>
      </x:c>
      <x:c r="N9" s="19" t="str">
        <x:v>supported by some evidence</x:v>
      </x:c>
    </x:row>
    <x:row r="10">
      <x:c r="A10" s="19" t="str">
        <x:v>Doctor-facing concise timeline and red-flag summary</x:v>
      </x:c>
      <x:c r="B10" s="19" t="str">
        <x:v>doctor; nurse; specialist</x:v>
      </x:c>
      <x:c r="C10" s="19" t="str">
        <x:v>Clinicians need context quickly but EHR notes, messages, repeated encounters, and copied-forward content bury relevant signals.</x:v>
      </x:c>
      <x:c r="D10" s="19" t="str">
        <x:v>research_evidence_package_clinician_side_diagnostic_pain_points_2026-05-30.tar.gz::evidence_items.csv::E015/E016/E021; quotes Q002/Q011; research_evidence_package_missed_signals_diagnostic_errors_2026-05-30.tar.gz::patterns.md::no one connected the dots; research_evidence_package_health_system_patient_flows_2026-05-30.tar.gz::patterns.md::patient narratives reveal continuity failures earlier than structured records</x:v>
      </x:c>
      <x:c r="E10" s="19" t="str">
        <x:v>first clinician assessment; medical history; specialist review; handoff</x:v>
      </x:c>
      <x:c r="F10" s="19" t="str">
        <x:v>Episode timeline, abnormal results, prior diagnoses, repeated visits, red flags, unresolved issues, patient concerns, missing data checklist.</x:v>
      </x:c>
      <x:c r="G10" s="19" t="str">
        <x:v>High</x:v>
      </x:c>
      <x:c r="H10" s="19" t="str">
        <x:v>High</x:v>
      </x:c>
      <x:c r="I10" s="19" t="str">
        <x:v>Very high</x:v>
      </x:c>
      <x:c r="J10" s="19" t="str">
        <x:v>Summarization hides nuance or introduces errors; clinicians over-trust the summary.</x:v>
      </x:c>
      <x:c r="K10" s="19" t="str">
        <x:v>Show source links, timestamps, uncertainty, and missing data; user can expand raw notes/results; flag generated summary as support only.</x:v>
      </x:c>
      <x:c r="L10" s="19" t="str">
        <x:v>Clinician commentary: “see what my screen looks like”; note-bloat and abnormal-result management evidence.</x:v>
      </x:c>
      <x:c r="M10" s="19" t="str">
        <x:v>https://pmc.ncbi.nlm.nih.gov/articles/PMC6450327/
https://pmc.ncbi.nlm.nih.gov/articles/PMC11852943/
https://www.kevinmd.com/2025/04/how-to-reduce-diagnostic-error-in-the-emergency-department-podcast.html
https://jamanetwork.com/journals/jamainternalmedicine/fullarticle/1656540</x:v>
      </x:c>
      <x:c r="N10" s="19" t="str">
        <x:v>strongly supported</x:v>
      </x:c>
    </x:row>
    <x:row r="11">
      <x:c r="A11" s="19" t="str">
        <x:v>Missing-data checklist for family history, medication access and prior tests</x:v>
      </x:c>
      <x:c r="B11" s="19" t="str">
        <x:v>patient; caregiver; doctor; nurse</x:v>
      </x:c>
      <x:c r="C11" s="19" t="str">
        <x:v>Family history, medication interruption, prior testing, out-of-system diagnoses, and patient/caregiver concern are treated as background rather than active diagnostic signal.</x:v>
      </x:c>
      <x:c r="D11" s="19" t="str">
        <x:v>research_evidence_package_patient_complaints_identification_failures_2026-05-30.tar.gz::cases_or_examples.csv::C005; research_evidence_package_missed_signals_diagnostic_errors_2026-05-30.tar.gz::cases_or_examples.csv::B-013/B-023/B-031; research_evidence_package_clinician_side_diagnostic_pain_points_2026-05-30.tar.gz::evidence_items.csv::E003; research_evidence_package_global_health_issue_identification_2026-05-30.tar.gz::practical_implications.md::ask what happened before current visit</x:v>
      </x:c>
      <x:c r="E11" s="19" t="str">
        <x:v>before visit; medical history; first clinician assessment</x:v>
      </x:c>
      <x:c r="F11" s="19" t="str">
        <x:v>Family history, caregiver input, medication list, access/cost interruptions, prior tests, previous diagnoses, records outside system.</x:v>
      </x:c>
      <x:c r="G11" s="19" t="str">
        <x:v>Medium</x:v>
      </x:c>
      <x:c r="H11" s="19" t="str">
        <x:v>Medium</x:v>
      </x:c>
      <x:c r="I11" s="19" t="str">
        <x:v>High</x:v>
      </x:c>
      <x:c r="J11" s="19" t="str">
        <x:v>Sensitive financial/family data may be incomplete or privacy-risky.</x:v>
      </x:c>
      <x:c r="K11" s="19" t="str">
        <x:v>Use optional patient-controlled disclosure; privacy notices; clinician confirms before action; do not infer blame from non-adherence.</x:v>
      </x:c>
      <x:c r="L11" s="19" t="str">
        <x:v>Family history ignored in later bipolar diagnosis; thyroid crisis linked to medication/access context; lupus systemic pattern.</x:v>
      </x:c>
      <x:c r="M11" s="19" t="str">
        <x:v>https://www.careopinion.org.uk/176152
https://psnet.ahrq.gov/web-mm/delayed-diagnosis-endocrinologic-emergencies
https://www.popsugar.com/health/how-i-got-my-lupus-diagnosis-personal-essay-49345999
https://betsylehmancenterma.gov/best-practices/diagnostic-error/case-studies
https://link.springer.com/article/10.1007/s11606-019-05343-6</x:v>
      </x:c>
      <x:c r="N11" s="19" t="str">
        <x:v>supported by some evidence</x:v>
      </x:c>
    </x:row>
    <x:row r="12">
      <x:c r="A12" s="19" t="str">
        <x:v>Triage red-flag co-pilot with reassessment timers</x:v>
      </x:c>
      <x:c r="B12" s="19" t="str">
        <x:v>nurse; ED/urgent-care clinician; registration staff</x:v>
      </x:c>
      <x:c r="C12" s="19" t="str">
        <x:v>Arrival, registration and triage sort urgency under pressure; red flags, worsening while waiting, and abnormal vitals can lose salience.</x:v>
      </x:c>
      <x:c r="D12" s="19" t="str">
        <x:v>research_evidence_package_health_system_patient_flows_2026-05-30.tar.gz::flow_maps.csv::FM01/FM02/FM04; sources S01/S03/S04/S09/S10; research_evidence_package_clinician_side_diagnostic_pain_points_2026-05-30.tar.gz::evidence_items.csv::E010; quote Q010; research_evidence_package_missed_signals_diagnostic_errors_2026-05-30.tar.gz::black_zones_by_patient_stage.csv::nurse triage/vitals; B-006/B-016; research_evidence_package_global_health_issue_identification_2026-05-30.tar.gz::cases_or_examples.csv::C003/C008/C009</x:v>
      </x:c>
      <x:c r="E12" s="19" t="str">
        <x:v>arrival; registration; nurse triage; vitals; waiting</x:v>
      </x:c>
      <x:c r="F12" s="19" t="str">
        <x:v>Chief complaint, vitals, danger signs, repeat visit, high-risk history, waiting time, deterioration reports, acuity score.</x:v>
      </x:c>
      <x:c r="G12" s="19" t="str">
        <x:v>High</x:v>
      </x:c>
      <x:c r="H12" s="19" t="str">
        <x:v>High</x:v>
      </x:c>
      <x:c r="I12" s="19" t="str">
        <x:v>High</x:v>
      </x:c>
      <x:c r="J12" s="19" t="str">
        <x:v>Over-alerting nurses, deskilling triage, or unsafe algorithmic downgrades.</x:v>
      </x:c>
      <x:c r="K12" s="19" t="str">
        <x:v>Support not replace nurse judgment; make timers actionable; require human reassessment; audit overrides and missed deteriorations.</x:v>
      </x:c>
      <x:c r="L12" s="19" t="str">
        <x:v>Triage nurses reported substantial cognitive and emotional strain; Brian Sinclair ED waiting-room death highlights pre-assessment/cultural safety failure.</x:v>
      </x:c>
      <x:c r="M12" s="19" t="str">
        <x:v>https://media.emscimprovement.center/documents/Emergency_Severity_Index_Handbook.pdf
https://www.england.nhs.uk/guidance-for-emergency-departments-initial-assessment/
https://rcem.ac.uk/wp-content/uploads/2025/04/Initial-Assessment.pdf
https://urgentcareassociation.org/wp-content/uploads/VITAL-SIGNS-IN-UC-CENTERS-04-2025_Revised.pdf
https://urgentcareassociation.org/wp-content/uploads/RED-FLAGS-04-2025_Revised.pdf
https://research-portal.uea.ac.uk/en/publications/assessments-under-pressure-interviews-with-triage-nurses-in-emerg/
https://www.cpha.ca/when-health-care-harms-addressing-indigenous-specific-racism-canada
https://www.clinicalexcellence.qld.gov.au/improvement-exchange/transforming-eds-towards-cultural-safety-tecs</x:v>
      </x:c>
      <x:c r="N12" s="19" t="str">
        <x:v>strongly supported</x:v>
      </x:c>
    </x:row>
    <x:row r="13">
      <x:c r="A13" s="19" t="str">
        <x:v>Waiting-room and pre-triage deterioration check-in</x:v>
      </x:c>
      <x:c r="B13" s="19" t="str">
        <x:v>patient; registration staff; nurse triage; ED/urgent care</x:v>
      </x:c>
      <x:c r="C13" s="19" t="str">
        <x:v>Patients can deteriorate before registration, during self-service intake, or while waiting by acuity order, especially if they do not know what to report.</x:v>
      </x:c>
      <x:c r="D13" s="19" t="str">
        <x:v>research_evidence_package_health_system_patient_flows_2026-05-30.tar.gz::flow_maps.csv::FM02/FM04/FM05; evidence_items.csv::E004/E008; research_evidence_package_global_health_issue_identification_2026-05-30.tar.gz::cases_or_examples.csv::C008/C009; research_evidence_package_missed_signals_diagnostic_errors_2026-05-30.tar.gz::black_zones_by_patient_stage.csv::arrival / registration; nurse triage / vitals</x:v>
      </x:c>
      <x:c r="E13" s="19" t="str">
        <x:v>arrival; registration; waiting; nurse triage; vitals</x:v>
      </x:c>
      <x:c r="F13" s="19" t="str">
        <x:v>Arrival time, registration time, waiting duration, new/worse symptoms, patient-reported deterioration, vitals/repeat vitals.</x:v>
      </x:c>
      <x:c r="G13" s="19" t="str">
        <x:v>High</x:v>
      </x:c>
      <x:c r="H13" s="19" t="str">
        <x:v>Medium</x:v>
      </x:c>
      <x:c r="I13" s="19" t="str">
        <x:v>Medium-high</x:v>
      </x:c>
      <x:c r="J13" s="19" t="str">
        <x:v>Check-ins may miss patients with disability/language barriers or increase staff interruptions.</x:v>
      </x:c>
      <x:c r="K13" s="19" t="str">
        <x:v>Multilingual/plain-language prompts, accessibility modes, visible escalation button, queue-monitoring rules, staff triage review.</x:v>
      </x:c>
      <x:c r="L13" s="19" t="str">
        <x:v>Brian Sinclair waited 34 hours; urgent care workflows rely on patients telling staff if they worsen while waiting.</x:v>
      </x:c>
      <x:c r="M13" s="19" t="str">
        <x:v>https://www.cpha.ca/when-health-care-harms-addressing-indigenous-specific-racism-canada
https://www.clinicalexcellence.qld.gov.au/improvement-exchange/transforming-eds-towards-cultural-safety-tecs
https://www.england.nhs.uk/guidance-for-emergency-departments-initial-assessment/
https://rcem.ac.uk/wp-content/uploads/2025/04/Initial-Assessment.pdf
https://digital.nhs.uk/services/urgent-care-self-service-product
https://www.nhs.uk/nhs-services/urgent-and-emergency-care-services/when-to-visit-an-urgent-treatment-centre-urgent-care-centre-or-minor-injury-unit/</x:v>
      </x:c>
      <x:c r="N13" s="19" t="str">
        <x:v>region-specific</x:v>
      </x:c>
    </x:row>
    <x:row r="14">
      <x:c r="A14" s="19" t="str">
        <x:v>Digital intake complexity escape hatch</x:v>
      </x:c>
      <x:c r="B14" s="19" t="str">
        <x:v>patient; admin/care navigator; nurse; GP/primary care</x:v>
      </x:c>
      <x:c r="C14" s="19" t="str">
        <x:v>Online triage and self-service flows can force single-symptom routing, depend on free text, omit prior high-risk history, or exclude patients with digital/language barriers.</x:v>
      </x:c>
      <x:c r="D14" s="19" t="str">
        <x:v>research_evidence_package_clinician_side_diagnostic_pain_points_2026-05-30.tar.gz::evidence_items.csv::E006/E007; quote Q005; research_evidence_package_health_system_patient_flows_2026-05-30.tar.gz::flow_maps.csv::FM05/FM06/FM07; evidence_items.csv::E006/E011; research_evidence_package_patient_complaints_identification_failures_2026-05-30.tar.gz::cases_or_examples.csv::C002; source S033 virtual-care evidence</x:v>
      </x:c>
      <x:c r="E14" s="19" t="str">
        <x:v>before visit; intake form; triage; referral</x:v>
      </x:c>
      <x:c r="F14" s="19" t="str">
        <x:v>Multiple symptoms, free-text “not captured,” prior diagnoses, recent contacts, high-risk history, language/accessibility need, clinician review trigger.</x:v>
      </x:c>
      <x:c r="G14" s="19" t="str">
        <x:v>High</x:v>
      </x:c>
      <x:c r="H14" s="19" t="str">
        <x:v>Medium-high</x:v>
      </x:c>
      <x:c r="I14" s="19" t="str">
        <x:v>High</x:v>
      </x:c>
      <x:c r="J14" s="19" t="str">
        <x:v>A digital form becomes the gatekeeper and hides complexity from humans.</x:v>
      </x:c>
      <x:c r="K14" s="19" t="str">
        <x:v>Human-review escape hatch, prior-history auto-pull, multi-symptom support, accessibility fallback, clear emergency redirection.</x:v>
      </x:c>
      <x:c r="L14" s="19" t="str">
        <x:v>GP quote: single-symptom algorithms miss complexity and “the dots can’t be joined up.”</x:v>
      </x:c>
      <x:c r="M14" s="19" t="str">
        <x:v>https://www.hssib.org.uk/patient-safety-investigations/workforce-and-patient-safety/second-investigation-report/
https://digital.nhs.uk/services/urgent-care-self-service-product
https://111.nhs.uk/
https://digital.nhs.uk/services/nhs-111-online
https://www.hssib.org.uk/patient-safety-investigations/workforce-and-patient-safety/second-investigation-report/</x:v>
      </x:c>
      <x:c r="N14" s="19" t="str">
        <x:v>strongly supported</x:v>
      </x:c>
    </x:row>
    <x:row r="15">
      <x:c r="A15" s="19" t="str">
        <x:v>Bias and misattribution guardrail</x:v>
      </x:c>
      <x:c r="B15" s="19" t="str">
        <x:v>doctor; nurse; safety team</x:v>
      </x:c>
      <x:c r="C15" s="19" t="str">
        <x:v>Physical symptoms may be dismissed or attributed to anxiety, stress, age, gender, substance use, difficult behavior, or mental illness before dangerous alternatives are considered.</x:v>
      </x:c>
      <x:c r="D15" s="19" t="str">
        <x:v>research_evidence_package_clinician_side_diagnostic_pain_points_2026-05-30.tar.gz::evidence_items.csv::E017/E018; quotes Q012/Q013; research_evidence_package_missed_signals_diagnostic_errors_2026-05-30.tar.gz::product_opportunities.csv::Bias/misattribution guardrail; B-003/B-020/B-021/B-024; research_evidence_package_patient_complaints_identification_failures_2026-05-30.tar.gz::quotes.csv::Q009/Q010/Q014; cases C012/C014/C015; research_evidence_package_global_health_issue_identification_2026-05-30.tar.gz::cases_or_examples.csv::C008; cultural_black_zone_map.md</x:v>
      </x:c>
      <x:c r="E15" s="19" t="str">
        <x:v>first clinician assessment; medical history; diagnosis discussion; specialist review</x:v>
      </x:c>
      <x:c r="F15" s="19" t="str">
        <x:v>Patient labels, presenting complaint, red flags, objective data, psychiatric/substance history if relevant, clinician reasoning, unresolved symptoms.</x:v>
      </x:c>
      <x:c r="G15" s="19" t="str">
        <x:v>High</x:v>
      </x:c>
      <x:c r="H15" s="19" t="str">
        <x:v>High</x:v>
      </x:c>
      <x:c r="I15" s="19" t="str">
        <x:v>High</x:v>
      </x:c>
      <x:c r="J15" s="19" t="str">
        <x:v>Could stigmatize clinicians/patients or imply mental health diagnoses are not real.</x:v>
      </x:c>
      <x:c r="K15" s="19" t="str">
        <x:v>Frame as coexisting physical-risk review; do not accuse; require documentation of red flags considered when symptoms remain discordant.</x:v>
      </x:c>
      <x:c r="L15" s="19" t="str">
        <x:v>PSVT framed as panic attacks; patient-reported “normal part of womanhood”; Indigenous-specific racism/triage failure.</x:v>
      </x:c>
      <x:c r="M15" s="19" t="str">
        <x:v>https://qualitysafety.bmj.com/content/26/1/13
https://journals.plos.org/plosone/article?id=10.1371%2Fjournal.pone.0111682
https://psnet.ahrq.gov/web-mm/paroxysmal-supraventricular-tachycardia-masquerading-panic-attacks
https://www.sciencedirect.com/science/article/pii/S2667321522001299
https://www.dysautonomiainternational.org/page.php?ID=184
https://www.autoimmuneinstitute.org/autoimmune_stories/claires-story-gender-bias-the-long-road-to-diagnosis/
https://www.endometriosis-uk.org/tayas-story
https://www.endometriosis-uk.org/orlas-story
https://www.bowelcanceruk.org.uk/how-we-can-help/real-life-stories/younger-people-with-bowel-cancer/sarah-mccollum-surrey/
https://www.cpha.ca/when-health-care-harms-addressing-indigenous-specific-racism-canada</x:v>
      </x:c>
      <x:c r="N15" s="19" t="str">
        <x:v>unsafe or needs caution</x:v>
      </x:c>
    </x:row>
    <x:row r="16">
      <x:c r="A16" s="19" t="str">
        <x:v>Lab trend and personal-baseline explorer</x:v>
      </x:c>
      <x:c r="B16" s="19" t="str">
        <x:v>doctor; nurse; specialist; patient</x:v>
      </x:c>
      <x:c r="C16" s="19" t="str">
        <x:v>Clinically important change can be hidden when individual values look normal, are viewed out of sequence, or are not connected to symptoms.</x:v>
      </x:c>
      <x:c r="D16" s="19" t="str">
        <x:v>research_evidence_package_missed_signals_diagnostic_errors_2026-05-30.tar.gz::cases_or_examples.csv::B-001/B-014/B-015; black_zones_by_patient_stage.csv::long-term monitoring; research_evidence_package_clinician_side_diagnostic_pain_points_2026-05-30.tar.gz::evidence_items.csv::E015; research_evidence_package_health_system_patient_flows_2026-05-30.tar.gz::reviews_or_complaints.csv::R009; source S54</x:v>
      </x:c>
      <x:c r="E16" s="19" t="str">
        <x:v>lab interpretation; long-term monitoring; specialist review</x:v>
      </x:c>
      <x:c r="F16" s="19" t="str">
        <x:v>Serial labs, dates, reference ranges, personal baseline, symptom status, medications, follow-up plans.</x:v>
      </x:c>
      <x:c r="G16" s="19" t="str">
        <x:v>High</x:v>
      </x:c>
      <x:c r="H16" s="19" t="str">
        <x:v>High</x:v>
      </x:c>
      <x:c r="I16" s="19" t="str">
        <x:v>High</x:v>
      </x:c>
      <x:c r="J16" s="19" t="str">
        <x:v>Trend rules overfit; false positives cause unnecessary workups.</x:v>
      </x:c>
      <x:c r="K16" s="19" t="str">
        <x:v>Start with transparent trend visualization and clinician-reviewed thresholds; capture false positives/negatives; no final diagnosis.</x:v>
      </x:c>
      <x:c r="L16" s="19" t="str">
        <x:v>Anemia trend/colon cancer, thyroid emergencies, AChR antibody/myasthenia crisis.</x:v>
      </x:c>
      <x:c r="M16" s="19" t="str">
        <x:v>https://psnet.ahrq.gov/web-mm/anemia-and-delayed-colon-cancer-diagnosis
https://psnet.ahrq.gov/web-mm/delayed-diagnosis-endocrinologic-emergencies
https://psnet.ahrq.gov/web-mm/myasthenia-crisis-after-delayed-diagnosis-medically-complex-patient
https://pmc.ncbi.nlm.nih.gov/articles/PMC6450327/
https://kidneycareuk.org/kidney-disease-information/your-stories/ckd-diagnosis-experiences/</x:v>
      </x:c>
      <x:c r="N16" s="19" t="str">
        <x:v>supported by some evidence</x:v>
      </x:c>
    </x:row>
    <x:row r="17">
      <x:c r="A17" s="19" t="str">
        <x:v>Pending-test discharge contract</x:v>
      </x:c>
      <x:c r="B17" s="19" t="str">
        <x:v>patient; doctor; nurse; admin</x:v>
      </x:c>
      <x:c r="C17" s="19" t="str">
        <x:v>Patients leave care while tests are pending, unclear, or not yet interpreted; no one knows who will act or when.</x:v>
      </x:c>
      <x:c r="D17" s="19" t="str">
        <x:v>research_evidence_package_missed_signals_diagnostic_errors_2026-05-30.tar.gz::product_opportunities.csv::Pending-test discharge contract; B-012/B-017; research_evidence_package_health_system_patient_flows_2026-05-30.tar.gz::flow_maps.csv::FM08; research_evidence_package_patient_complaints_identification_failures_2026-05-30.tar.gz::cases_or_examples.csv::C010/C011; research_evidence_package_clinician_side_diagnostic_pain_points_2026-05-30.tar.gz::evidence_items.csv::E004</x:v>
      </x:c>
      <x:c r="E17" s="19" t="str">
        <x:v>discharge; follow-up; lab/imaging interpretation</x:v>
      </x:c>
      <x:c r="F17" s="19" t="str">
        <x:v>Pending tests, expected result dates, owner, backup owner, patient contact method, action plan by result type, escalation route.</x:v>
      </x:c>
      <x:c r="G17" s="19" t="str">
        <x:v>High</x:v>
      </x:c>
      <x:c r="H17" s="19" t="str">
        <x:v>Medium</x:v>
      </x:c>
      <x:c r="I17" s="19" t="str">
        <x:v>High</x:v>
      </x:c>
      <x:c r="J17" s="19" t="str">
        <x:v>Patients may panic from unclear pending-result language or assume no news means normal.</x:v>
      </x:c>
      <x:c r="K17" s="19" t="str">
        <x:v>Plain-language plan: “what is pending,” “when you will hear,” “who owns it,” and “what to do if no contact.”</x:v>
      </x:c>
      <x:c r="L17" s="19" t="str">
        <x:v>Delayed positive blood culture; critical echocardiogram result lost to follow-up.</x:v>
      </x:c>
      <x:c r="M17" s="19" t="str">
        <x:v>https://psnet.ahrq.gov/web-mm/delayed-recognition-positive-blood-culture
https://psnet.ahrq.gov/web-mm/critical-echocardiogram-result-lost-follow
https://www.cqc.org.uk/guidance-regulation/gps/gp-mythbusters
https://www.hssib.org.uk/patient-safety-investigations/failures-in-communication-or-follow-up-of-unexpected-significant-radiological-findings/
https://www.hdc.org.nz/decisions/search-decisions/2025/22hdc02105/
https://www.hdc.org.nz/decisions/search-decisions/2012/10hdc01419/</x:v>
      </x:c>
      <x:c r="N17" s="19" t="str">
        <x:v>strongly supported</x:v>
      </x:c>
    </x:row>
    <x:row r="18">
      <x:c r="A18" s="19" t="str">
        <x:v>Cross-specialty pattern map</x:v>
      </x:c>
      <x:c r="B18" s="19" t="str">
        <x:v>doctor; specialist; referral coordinator; patient</x:v>
      </x:c>
      <x:c r="C18" s="19" t="str">
        <x:v>Complex symptoms spanning specialties are split into GI/GYN/cardiology/neuro/psych silos, causing wrong-specialty drift or advice-only loops.</x:v>
      </x:c>
      <x:c r="D18" s="19" t="str">
        <x:v>research_evidence_package_missed_signals_diagnostic_errors_2026-05-30.tar.gz::product_opportunities.csv::Cross-specialty referral map; B-002/B-003/B-024/B-029/B-032; research_evidence_package_patient_complaints_identification_failures_2026-05-30.tar.gz::patterns.md::wrong specialty or unclear referral pathway; research_evidence_package_clinician_side_diagnostic_pain_points_2026-05-30.tar.gz::evidence_items.csv::E013/E014; research_evidence_package_health_system_patient_flows_2026-05-30.tar.gz::flow_maps.csv::FM10/FM11</x:v>
      </x:c>
      <x:c r="E18" s="19" t="str">
        <x:v>referral; specialist review; repeat visit; long-term monitoring</x:v>
      </x:c>
      <x:c r="F18" s="19" t="str">
        <x:v>Symptom clusters, prior specialty opinions, referral statuses, unanswered clinical questions, tests already done, patient goals.</x:v>
      </x:c>
      <x:c r="G18" s="19" t="str">
        <x:v>High</x:v>
      </x:c>
      <x:c r="H18" s="19" t="str">
        <x:v>High</x:v>
      </x:c>
      <x:c r="I18" s="19" t="str">
        <x:v>Medium-high</x:v>
      </x:c>
      <x:c r="J18" s="19" t="str">
        <x:v>Encourages inappropriate referral volume or suggests specialties unavailable locally.</x:v>
      </x:c>
      <x:c r="K18" s="19" t="str">
        <x:v>Local referral directory and criteria; “consider asking” prompts rather than automated referral; shared summary with clinical question.</x:v>
      </x:c>
      <x:c r="L18" s="19" t="str">
        <x:v>Endometriosis split between GI/gynecology; recurrent pneumothorax/LAM; myasthenia diagnosed after routine outpatient visit.</x:v>
      </x:c>
      <x:c r="M18" s="19" t="str">
        <x:v>https://psnet.ahrq.gov/web-mm/endometriosis-common-and-commonly-missed-and-delayed-diagnosis
https://psnet.ahrq.gov/web-mm/paroxysmal-supraventricular-tachycardia-masquerading-panic-attacks
https://www.autoimmuneinstitute.org/autoimmune_stories/claires-story-gender-bias-the-long-road-to-diagnosis/
https://betsylehmancenterma.gov/best-practices/diagnostic-error/case-studies
https://pmc.ncbi.nlm.nih.gov/articles/PMC9328695/
https://bmjopenquality.bmj.com/content/10/4/e001603
https://digital.nhs.uk/services/e-referral-service/document-library/referral-assessment-services
https://www.england.nhs.uk/long-read/outpatient-recovery-and-transformation-improvement-guide/</x:v>
      </x:c>
      <x:c r="N18" s="19" t="str">
        <x:v>supported by some evidence</x:v>
      </x:c>
    </x:row>
    <x:row r="19">
      <x:c r="A19" s="19" t="str">
        <x:v>Patient-held record and out-of-system care import</x:v>
      </x:c>
      <x:c r="B19" s="19" t="str">
        <x:v>patient; caregiver; doctor; admin; CHW</x:v>
      </x:c>
      <x:c r="C19" s="19" t="str">
        <x:v>Signals from private, informal, cross-border, pharmacy, traditional, or disconnected care never enter the formal record.</x:v>
      </x:c>
      <x:c r="D19" s="19" t="str">
        <x:v>research_evidence_package_global_health_issue_identification_2026-05-30.tar.gz::evidence_items.csv::E008/E009; cases C004/C005; product_or_system_implications.md; research_evidence_package_health_system_patient_flows_2026-05-30.tar.gz::flow_notes_by_care_setting.csv::telehealth / home/community / rural settings; research_evidence_package_missed_signals_diagnostic_errors_2026-05-30.tar.gz::cases_or_examples.csv::B-031</x:v>
      </x:c>
      <x:c r="E19" s="19" t="str">
        <x:v>before visit; registration; medical history; referral; follow-up</x:v>
      </x:c>
      <x:c r="F19" s="19" t="str">
        <x:v>Uploaded photos/PDFs/SMS, manual test entries, prior visit locations, informal provider referrals, medication packs, patient consent/provenance.</x:v>
      </x:c>
      <x:c r="G19" s="19" t="str">
        <x:v>Medium-high</x:v>
      </x:c>
      <x:c r="H19" s="19" t="str">
        <x:v>High</x:v>
      </x:c>
      <x:c r="I19" s="19" t="str">
        <x:v>High in fragmented systems</x:v>
      </x:c>
      <x:c r="J19" s="19" t="str">
        <x:v>Poor-quality records or privacy issues contaminate clinical data.</x:v>
      </x:c>
      <x:c r="K19" s="19" t="str">
        <x:v>Provenance labels; clinician verification; patient consent; data-quality confidence; do not overwrite official results.</x:v>
      </x:c>
      <x:c r="L19" s="19" t="str">
        <x:v>Bedouin out-of-system continuity barriers; India fragmented public/private/informal ecosystem; lack of insurance disrupted colon-cancer workup.</x:v>
      </x:c>
      <x:c r="M19" s="19" t="str">
        <x:v>https://link.springer.com/article/10.1186/s12939-025-02398-2
https://www.commonwealthfund.org/taxonomy/term/8
https://journals.plos.org/globalpublichealth/article?id=10.1371%2Fjournal.pgph.0004416
https://betsylehmancenterma.gov/best-practices/diagnostic-error/case-studies</x:v>
      </x:c>
      <x:c r="N19" s="19" t="str">
        <x:v>region-specific</x:v>
      </x:c>
    </x:row>
    <x:row r="20">
      <x:c r="A20" s="19" t="str">
        <x:v>Language, interpreter and cultural-safety layer</x:v>
      </x:c>
      <x:c r="B20" s="19" t="str">
        <x:v>patient; caregiver; registration staff; nurse; doctor; liaison</x:v>
      </x:c>
      <x:c r="C20" s="19" t="str">
        <x:v>Language barriers, mistrust, cultural safety failures, racism, and did-not-wait patterns shape whether symptoms are voiced, believed and followed up.</x:v>
      </x:c>
      <x:c r="D20" s="19" t="str">
        <x:v>research_evidence_package_global_health_issue_identification_2026-05-30.tar.gz::sources S023/S024/S026/S027/S028; cases C008/C009/C010; research_evidence_package_clinician_side_diagnostic_pain_points_2026-05-30.tar.gz::evidence_items.csv::E003; research_evidence_package_health_system_patient_flows_2026-05-30.tar.gz::flow_notes_by_care_setting.csv::telehealth / public health screening / community visit</x:v>
      </x:c>
      <x:c r="E20" s="19" t="str">
        <x:v>arrival; registration; intake form; medical history; discharge; follow-up</x:v>
      </x:c>
      <x:c r="F20" s="19" t="str">
        <x:v>Preferred language, interpreter need, translated instructions, liaison request, cultural safety flags, did-not-wait risk, family/community contact preference.</x:v>
      </x:c>
      <x:c r="G20" s="19" t="str">
        <x:v>High</x:v>
      </x:c>
      <x:c r="H20" s="19" t="str">
        <x:v>Medium-high</x:v>
      </x:c>
      <x:c r="I20" s="19" t="str">
        <x:v>High in multilingual/underserved settings</x:v>
      </x:c>
      <x:c r="J20" s="19" t="str">
        <x:v>Tokenistic prompts without staff, interpreters, or liaison capacity.</x:v>
      </x:c>
      <x:c r="K20" s="19" t="str">
        <x:v>Connect to actual interpreter/liaison workflows; track completion not just need; avoid ethnicity-based risk scoring.</x:v>
      </x:c>
      <x:c r="L20" s="19" t="str">
        <x:v>Queensland ED cultural-safety transformation; Brian Sinclair triage failure; Health Catch-UP migrant screening tool.</x:v>
      </x:c>
      <x:c r="M20" s="19" t="str">
        <x:v>https://www.england.nhs.uk/long-read/improvement-framework-community-language-translation-and-interpreting-services/
https://www.cpha.ca/when-health-care-harms-addressing-indigenous-specific-racism-canada
https://www.aihw.gov.au/reports/indigenous-australians/cultural-safety-health-care-framework/contents/summary
https://www.clinicalexcellence.qld.gov.au/improvement-exchange/transforming-eds-towards-cultural-safety-tecs
https://link.springer.com/article/10.1186/s12916-024-03713-4
https://link.springer.com/article/10.1007/s11606-019-05343-6</x:v>
      </x:c>
      <x:c r="N20" s="19" t="str">
        <x:v>region-specific</x:v>
      </x:c>
    </x:row>
    <x:row r="21">
      <x:c r="A21" s="19" t="str">
        <x:v>Low-resource diagnostic availability and stockout-aware plan</x:v>
      </x:c>
      <x:c r="B21" s="19" t="str">
        <x:v>clinician; CHW; nurse; district manager; patient</x:v>
      </x:c>
      <x:c r="C21" s="19" t="str">
        <x:v>A diagnostic tool may not exist, be affordable, be in stock, or be reachable; missing diagnostics can look like clinician delay unless explicitly captured.</x:v>
      </x:c>
      <x:c r="D21" s="19" t="str">
        <x:v>research_evidence_package_missed_signals_diagnostic_errors_2026-05-30.tar.gz::cases_or_examples.csv::B-025/B-026/B-027; product_opportunities.csv::Low-resource diagnostic availability layer; research_evidence_package_global_health_issue_identification_2026-05-30.tar.gz::cases C005/C006/C007; evidence_items E010; product implications; research_evidence_package_clinician_side_diagnostic_pain_points_2026-05-30.tar.gz::evidence_items.csv::E019/E020; research_evidence_package_health_system_patient_flows_2026-05-30.tar.gz::flow_maps.csv::FM12 and rural/low-resource clinic notes</x:v>
      </x:c>
      <x:c r="E21" s="19" t="str">
        <x:v>before visit; labs ordered; imaging ordered; referral; follow-up; public health screening</x:v>
      </x:c>
      <x:c r="F21" s="19" t="str">
        <x:v>Test availability, stockout status, specimen transport, price/affordability, travel distance, referral facility, alternate plan, supply-chain notification.</x:v>
      </x:c>
      <x:c r="G21" s="19" t="str">
        <x:v>High</x:v>
      </x:c>
      <x:c r="H21" s="19" t="str">
        <x:v>High</x:v>
      </x:c>
      <x:c r="I21" s="19" t="str">
        <x:v>High in low-resource settings</x:v>
      </x:c>
      <x:c r="J21" s="19" t="str">
        <x:v>Blames clinics/CHWs for infrastructure gaps or creates impossible tasks.</x:v>
      </x:c>
      <x:c r="K21" s="19" t="str">
        <x:v>Resource-aware workflows; offline/paper/SMS modes; aggregate stockout reporting; escalation alternatives; no punitive clinician metrics for stockouts.</x:v>
      </x:c>
      <x:c r="L21" s="19" t="str">
        <x:v>Malaria RDT stockouts/readiness in Mozambique; Tanzania cancer pathway; India TB free chest-x-ray referral intervention.</x:v>
      </x:c>
      <x:c r="M21" s="19" t="str">
        <x:v>https://doaj.org/article/7ae6f62fe6174a639fc8a63fd8a97cfd
https://journals.plos.org/globalpublichealth/article?id=10.1371/journal.pgph.0001532
https://link.springer.com/article/10.1186/1475-2875-13-295
https://journals.plos.org/globalpublichealth/article?id=10.1371%2Fjournal.pgph.0004416
https://link.springer.com/article/10.1186/s12913-021-07438-5
https://www.who.int/teams/global-malaria-programme/case-management/community-based-case-management-race-programme
https://link.springer.com/article/10.1186/s12889-025-22735-y
https://pmc.ncbi.nlm.nih.gov/articles/PMC8654090/
https://aam.mohfw.gov.in/download/document/45a4ab64b74ab124cfd853ec9a0127e4.pdf
https://www.who.int/teams/maternal-newborn-child-adolescent-health-and-ageing/child-health/integrated-management-of-childhood-illness/
https://www.who.int/teams/global-malaria-programme/case-management/community-based-case-management-race-programme
https://link.springer.com/article/10.1186/s12245-025-01005-z</x:v>
      </x:c>
      <x:c r="N21" s="19" t="str">
        <x:v>region-specific</x:v>
      </x:c>
    </x:row>
    <x:row r="22">
      <x:c r="A22" s="19" t="str">
        <x:v>CHW and informal-provider referral capture mode</x:v>
      </x:c>
      <x:c r="B22" s="19" t="str">
        <x:v>CHW; informal provider; nurse; primary care; patient</x:v>
      </x:c>
      <x:c r="C22" s="19" t="str">
        <x:v>Community health workers and informal/non-allopathic providers are often first assessment nodes but may not be connected to formal testing and referral loops.</x:v>
      </x:c>
      <x:c r="D22" s="19" t="str">
        <x:v>research_evidence_package_global_health_issue_identification_2026-05-30.tar.gz::cases C005/C007; evidence_items E010; sources S012/S021; research_evidence_package_health_system_patient_flows_2026-05-30.tar.gz::flow_maps.csv::FM12; sources S38/S40/S41/S43; research_evidence_package_clinician_side_diagnostic_pain_points_2026-05-30.tar.gz::evidence_items.csv::E019</x:v>
      </x:c>
      <x:c r="E22" s="19" t="str">
        <x:v>before visit; home/community visit; referral; follow-up</x:v>
      </x:c>
      <x:c r="F22" s="19" t="str">
        <x:v>CHW assessment, danger signs, screening result, referral card/voucher, diagnostic appointment, attendance, counter-referral, stock/supply status.</x:v>
      </x:c>
      <x:c r="G22" s="19" t="str">
        <x:v>High</x:v>
      </x:c>
      <x:c r="H22" s="19" t="str">
        <x:v>High</x:v>
      </x:c>
      <x:c r="I22" s="19" t="str">
        <x:v>High in CHW/informal-first settings</x:v>
      </x:c>
      <x:c r="J22" s="19" t="str">
        <x:v>Assigns responsibility without training, supplies, supervision or referral backup.</x:v>
      </x:c>
      <x:c r="K22" s="19" t="str">
        <x:v>Protocol-bound scope, supervision, offline mode, referral confirmation, local-language prompts, supply/status integration.</x:v>
      </x:c>
      <x:c r="L22" s="19" t="str">
        <x:v>Non-allopathic provider TB referral/free chest-x-ray reduced diagnostic delay by 8.6 days; iCCM CHW childhood-illness workflow.</x:v>
      </x:c>
      <x:c r="M22" s="19" t="str">
        <x:v>https://journals.plos.org/globalpublichealth/article?id=10.1371%2Fjournal.pgph.0004416
https://www.who.int/teams/global-malaria-programme/case-management/community-based-case-management-race-programme
https://aam.mohfw.gov.in/download/document/45a4ab64b74ab124cfd853ec9a0127e4.pdf
https://www.childhealthtaskforce.org/hubs/iccm
https://www.who.int/teams/global-malaria-programme/case-management/community-based-case-management-race-programme
https://www.commonwealthfund.org/publications/case-study/2016/dec/brazils-family-health-strategy-using-community-health-care-workers
https://link.springer.com/article/10.1186/s12889-025-22735-y</x:v>
      </x:c>
      <x:c r="N22" s="19" t="str">
        <x:v>region-specific</x:v>
      </x:c>
    </x:row>
    <x:row r="23">
      <x:c r="A23" s="19" t="str">
        <x:v>Medication and access-as-diagnostic-clue capture</x:v>
      </x:c>
      <x:c r="B23" s="19" t="str">
        <x:v>patient; doctor; nurse; social worker</x:v>
      </x:c>
      <x:c r="C23" s="19" t="str">
        <x:v>Medication interruption, device/supply problems, insurance gaps, and affordability can be a direct clue to deterioration or differential diagnosis.</x:v>
      </x:c>
      <x:c r="D23" s="19" t="str">
        <x:v>research_evidence_package_missed_signals_diagnostic_errors_2026-05-30.tar.gz::product_opportunities.csv::Medication/access-as-diagnostic-clue; B-013/B-031; research_evidence_package_global_health_issue_identification_2026-05-30.tar.gz::patterns.md::cost/transport/access barriers; research_evidence_package_clinician_side_diagnostic_pain_points_2026-05-30.tar.gz::evidence_items.csv::E003</x:v>
      </x:c>
      <x:c r="E23" s="19" t="str">
        <x:v>before visit; medical history; first clinician assessment; follow-up</x:v>
      </x:c>
      <x:c r="F23" s="19" t="str">
        <x:v>Current meds, missed doses, reason, cost/coverage/transport barriers, device/supply access, pharmacy fill gaps where available.</x:v>
      </x:c>
      <x:c r="G23" s="19" t="str">
        <x:v>Medium-high</x:v>
      </x:c>
      <x:c r="H23" s="19" t="str">
        <x:v>Medium</x:v>
      </x:c>
      <x:c r="I23" s="19" t="str">
        <x:v>Medium-high</x:v>
      </x:c>
      <x:c r="J23" s="19" t="str">
        <x:v>Patients may feel blamed or exposed; affordability data is sensitive.</x:v>
      </x:c>
      <x:c r="K23" s="19" t="str">
        <x:v>Ask nonjudgmentally; mark patient-controlled sensitive data; link to assistance/referral resources; do not equate cost barriers with noncompliance.</x:v>
      </x:c>
      <x:c r="L23" s="19" t="str">
        <x:v>Thyroid storm/endocrinologic emergency; lack of insurance disrupted suspected colon-cancer workup.</x:v>
      </x:c>
      <x:c r="M23" s="19" t="str">
        <x:v>https://psnet.ahrq.gov/web-mm/delayed-diagnosis-endocrinologic-emergencies
https://betsylehmancenterma.gov/best-practices/diagnostic-error/case-studies
https://link.springer.com/article/10.1007/s11606-019-05343-6</x:v>
      </x:c>
      <x:c r="N23" s="19" t="str">
        <x:v>supported by some evidence</x:v>
      </x:c>
    </x:row>
    <x:row r="24">
      <x:c r="A24" s="19" t="str">
        <x:v>Note-diff and copied-forward detection</x:v>
      </x:c>
      <x:c r="B24" s="19" t="str">
        <x:v>doctor; specialist; nurse; safety reviewer</x:v>
      </x:c>
      <x:c r="C24" s="19" t="str">
        <x:v>Long redundant notes obscure new facts, changed assessments, unresolved problems, and copied-forward assumptions.</x:v>
      </x:c>
      <x:c r="D24" s="19" t="str">
        <x:v>research_evidence_package_clinician_side_diagnostic_pain_points_2026-05-30.tar.gz::evidence_items.csv::E016; product implications; research_evidence_package_missed_signals_diagnostic_errors_2026-05-30.tar.gz::patterns.md::no one connected the dots; normal-test trap; research_evidence_package_health_system_patient_flows_2026-05-30.tar.gz::patterns.md::patient narratives reveal continuity failures</x:v>
      </x:c>
      <x:c r="E24" s="19" t="str">
        <x:v>history review; handoff; specialist review; follow-up</x:v>
      </x:c>
      <x:c r="F24" s="19" t="str">
        <x:v>Visit notes, version history, problem list, new vs copied text, changed diagnoses/plans, unresolved tasks.</x:v>
      </x:c>
      <x:c r="G24" s="19" t="str">
        <x:v>Medium-high</x:v>
      </x:c>
      <x:c r="H24" s="19" t="str">
        <x:v>High</x:v>
      </x:c>
      <x:c r="I24" s="19" t="str">
        <x:v>Medium-high</x:v>
      </x:c>
      <x:c r="J24" s="19" t="str">
        <x:v>Diffs become another noisy interface or expose legitimate repeated history as error.</x:v>
      </x:c>
      <x:c r="K24" s="19" t="str">
        <x:v>Prioritize clinically meaningful changes; allow clinician dismissal; tie output to unresolved episode summary.</x:v>
      </x:c>
      <x:c r="L24" s="19" t="str">
        <x:v>Research D identifies note bloat and EHR documentation burden as obscuring critical information.</x:v>
      </x:c>
      <x:c r="M24" s="19" t="str">
        <x:v>https://pmc.ncbi.nlm.nih.gov/articles/PMC11852943/
https://psnet.ahrq.gov/web-mm/anemia-and-delayed-colon-cancer-diagnosis
https://psnet.ahrq.gov/web-mm/spinal-epidural-abscess</x:v>
      </x:c>
      <x:c r="N24" s="19" t="str">
        <x:v>supported by some evidence</x:v>
      </x:c>
    </x:row>
    <x:row r="25">
      <x:c r="A25" s="19" t="str">
        <x:v>Workload-aware alert management and risk-ranked worklists</x:v>
      </x:c>
      <x:c r="B25" s="19" t="str">
        <x:v>doctor; nurse; admin; safety lead</x:v>
      </x:c>
      <x:c r="C25" s="19" t="str">
        <x:v>More alerts can worsen the exact overload that causes missed abnormal results and poor follow-up.</x:v>
      </x:c>
      <x:c r="D25" s="19" t="str">
        <x:v>research_evidence_package_clinician_side_diagnostic_pain_points_2026-05-30.tar.gz::evidence_items.csv::E001/E011/E015/E021; quotes Q003/Q008/Q010/Q011; research_evidence_package_health_system_patient_flows_2026-05-30.tar.gz::main_report.md::front-door workflows sort urgency before diagnosis; research_evidence_package_missed_signals_diagnostic_errors_2026-05-30.tar.gz::risks_and_safety_notes.md::over-alert risk</x:v>
      </x:c>
      <x:c r="E25" s="19" t="str">
        <x:v>all stages; lab interpretation; follow-up; handoff</x:v>
      </x:c>
      <x:c r="F25" s="19" t="str">
        <x:v>Alert type, criticality, patient risk, task age, owner workload, shift/fatigue proxy where ethically appropriate, closure outcome.</x:v>
      </x:c>
      <x:c r="G25" s="19" t="str">
        <x:v>High</x:v>
      </x:c>
      <x:c r="H25" s="19" t="str">
        <x:v>High</x:v>
      </x:c>
      <x:c r="I25" s="19" t="str">
        <x:v>High</x:v>
      </x:c>
      <x:c r="J25" s="19" t="str">
        <x:v>Creates a new inbox, hides low-frequency serious issues, or routes responsibility unfairly.</x:v>
      </x:c>
      <x:c r="K25" s="19" t="str">
        <x:v>Actionable, tiered alerts; suppress duplicates; ownership + escalation; measure false positives/negatives; do not use fatigue data punitively.</x:v>
      </x:c>
      <x:c r="L25" s="19" t="str">
        <x:v>PCPs reported more alerts than they could effectively manage; HSSIB fatigue report; EHR usability simulation.</x:v>
      </x:c>
      <x:c r="M25" s="19" t="str">
        <x:v>https://jamanetwork.com/journals/jamainternalmedicine/fullarticle/1657753
https://www.hssib.org.uk/patient-safety-investigations/the-impact-of-staff-fatigue-on-patient-safety/investigation-report/
https://pmc.ncbi.nlm.nih.gov/articles/PMC6450327/
https://www.kevinmd.com/2025/04/how-to-reduce-diagnostic-error-in-the-emergency-department-podcast.html
https://research-portal.uea.ac.uk/en/publications/assessments-under-pressure-interviews-with-triage-nurses-in-emerg/</x:v>
      </x:c>
      <x:c r="N25" s="19" t="str">
        <x:v>unsafe or needs caution</x:v>
      </x:c>
    </x:row>
    <x:row r="26">
      <x:c r="A26" s="19" t="str">
        <x:v>Patient/family deterioration escalation route</x:v>
      </x:c>
      <x:c r="B26" s="19" t="str">
        <x:v>patient; caregiver; nurse; doctor; safety team</x:v>
      </x:c>
      <x:c r="C26" s="19" t="str">
        <x:v>Family or patient concern about deterioration may be ignored or lack a route beyond repeating the same complaint.</x:v>
      </x:c>
      <x:c r="D26" s="19" t="str">
        <x:v>research_evidence_package_patient_complaints_identification_failures_2026-05-30.tar.gz::cases_or_examples.csv::C004/C008; source S036 Martha’s Rule; quotes Q004/Q008; research_evidence_package_global_health_issue_identification_2026-05-30.tar.gz::cases_or_examples.csv::C003/C008/C009; research_evidence_package_health_system_patient_flows_2026-05-30.tar.gz::reviews_or_complaints.csv::R003; quotes Q004</x:v>
      </x:c>
      <x:c r="E26" s="19" t="str">
        <x:v>diagnosis discussion; discharge; follow-up; emergency escalation; inpatient/ED waiting</x:v>
      </x:c>
      <x:c r="F26" s="19" t="str">
        <x:v>Family concern, deterioration description, current symptoms, prior contacts, escalation request, response owner, outcome.</x:v>
      </x:c>
      <x:c r="G26" s="19" t="str">
        <x:v>High</x:v>
      </x:c>
      <x:c r="H26" s="19" t="str">
        <x:v>Medium-high</x:v>
      </x:c>
      <x:c r="I26" s="19" t="str">
        <x:v>High</x:v>
      </x:c>
      <x:c r="J26" s="19" t="str">
        <x:v>Floods escalation pathways or bypasses normal care without capacity.</x:v>
      </x:c>
      <x:c r="K26" s="19" t="str">
        <x:v>Clear criteria, named response team, acknowledgment timestamp, triage of escalation requests, respectful language.</x:v>
      </x:c>
      <x:c r="L26" s="19" t="str">
        <x:v>“No one listened to us”; sepsis and deterioration complaint patterns; Martha’s Rule as a safety initiative reference.</x:v>
      </x:c>
      <x:c r="M26" s="19" t="str">
        <x:v>https://www.careopinion.org.uk/1349233
https://www.hssib.org.uk/patient-safety-investigations/continuity-of-care-delayed-diagnosis-in-gp-practices/investigation-report/
https://www.england.nhs.uk/patient-safety/marthas-rule/
https://www.ombudsman.org.uk/publications/broken-trust-making-patient-safety-more-just-promise-report/broken-trust-our-casework-evidence-clinical-failings
https://www.ombudsman.org.uk/news-and-blog/news/more-action-sepsis-needed-nhs-ombudsman-still-seeing-same-failings-decade
https://www.cpha.ca/when-health-care-harms-addressing-indigenous-specific-racism-canada
https://www.clinicalexcellence.qld.gov.au/improvement-exchange/transforming-eds-towards-cultural-safety-tecs
https://www.ombudsman.org.uk/news-and-blog/news/patients-being-harmed-due-repeated-mistakes-reading-scans</x:v>
      </x:c>
      <x:c r="N26" s="19" t="str">
        <x:v>strongly supported</x:v>
      </x:c>
    </x:row>
    <x:row r="27">
      <x:c r="A27" s="19" t="str">
        <x:v>Diagnosis-status clarity in patient portal</x:v>
      </x:c>
      <x:c r="B27" s="19" t="str">
        <x:v>patient; doctor; admin</x:v>
      </x:c>
      <x:c r="C27" s="19" t="str">
        <x:v>Patients may see labels, referral decisions or results without knowing whether a diagnosis is confirmed, suspected, excluded, pending, or unexplained.</x:v>
      </x:c>
      <x:c r="D27" s="19" t="str">
        <x:v>research_evidence_package_patient_complaints_identification_failures_2026-05-30.tar.gz::quotes.csv::Q007/Q011/Q012; product implications; research_evidence_package_missed_signals_diagnostic_errors_2026-05-30.tar.gz::product_opportunities.csv::Pending-test discharge contract; research_evidence_package_health_system_patient_flows_2026-05-30.tar.gz::practical_implications.md::record what remains unexplained</x:v>
      </x:c>
      <x:c r="E27" s="19" t="str">
        <x:v>diagnosis discussion; discharge; follow-up; patient portal review</x:v>
      </x:c>
      <x:c r="F27" s="19" t="str">
        <x:v>Diagnosis status, uncertainty statement, pending tests, what is ruled out/not ruled out, referral status, next action and owner.</x:v>
      </x:c>
      <x:c r="G27" s="19" t="str">
        <x:v>Medium-high</x:v>
      </x:c>
      <x:c r="H27" s="19" t="str">
        <x:v>Medium</x:v>
      </x:c>
      <x:c r="I27" s="19" t="str">
        <x:v>Medium-high</x:v>
      </x:c>
      <x:c r="J27" s="19" t="str">
        <x:v>Over-simplified statuses create false certainty or alarm.</x:v>
      </x:c>
      <x:c r="K27" s="19" t="str">
        <x:v>Use clinician-authored uncertainty templates; explain status categories; show who to contact and when.</x:v>
      </x:c>
      <x:c r="L27" s="19" t="str">
        <x:v>Patient quotes: “No one had told me initially”; “I wasn’t given any further information.”</x:v>
      </x:c>
      <x:c r="M27" s="19" t="str">
        <x:v>https://www.careopinion.org.uk/1378025
https://www.endometriosis-uk.org/dipikas-story
https://www.endometriosis-uk.org/stephanies-story-0
https://psnet.ahrq.gov/web-mm/delayed-recognition-positive-blood-culture
https://psnet.ahrq.gov/web-mm/critical-echocardiogram-result-lost-follow</x:v>
      </x:c>
      <x:c r="N27" s="19" t="str">
        <x:v>supported by some evidence</x:v>
      </x:c>
    </x:row>
  </x:sheetData>
  <x:dataValidations count="4">
    <x:dataValidation type="list" sqref="G2:G27">
      <x:formula1>"Low,Medium,Medium-high,High"</x:formula1>
    </x:dataValidation>
    <x:dataValidation type="list" sqref="H2:H27">
      <x:formula1>"Low,Low-medium,Medium,Medium-high,High"</x:formula1>
    </x:dataValidation>
    <x:dataValidation type="list" sqref="I2:I27">
      <x:formula1>"Medium,Medium-high,High,Very high,High in fragmented systems,High in low-resource settings,High in CHW/informal-first settings,High in multilingual/underserved settings"</x:formula1>
    </x:dataValidation>
    <x:dataValidation type="list" sqref="N2:N27">
      <x:formula1>"early idea,supported by some evidence,strongly supported,contradicted by evidence,region-specific,unsafe or needs caution"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7ca85b65042e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52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18" hidden="0" customWidth="1"/>
    <x:col min="11" max="11" width="18" hidden="0" customWidth="1"/>
    <x:col min="12" max="12" width="36" hidden="0" customWidth="1"/>
    <x:col min="13" max="13" width="18" hidden="0" customWidth="1"/>
    <x:col min="14" max="14" width="42" hidden="0" customWidth="1"/>
    <x:col min="15" max="15" width="50" hidden="0" customWidth="1"/>
    <x:col min="16" max="16" width="18" hidden="0" customWidth="1"/>
  </x:cols>
  <x:sheetData>
    <x:row r="1" ht="45" customHeight="1">
      <x:c r="A1" s="18" t="str">
        <x:v>Insight / capability</x:v>
      </x:c>
      <x:c r="B1" s="18" t="str">
        <x:v>Problem statement</x:v>
      </x:c>
      <x:c r="C1" s="18" t="str">
        <x:v>Evidence sources</x:v>
      </x:c>
      <x:c r="D1" s="18" t="str">
        <x:v>Patient-stage involved</x:v>
      </x:c>
      <x:c r="E1" s="18" t="str">
        <x:v>User affected</x:v>
      </x:c>
      <x:c r="F1" s="18" t="str">
        <x:v>What signal is currently missed</x:v>
      </x:c>
      <x:c r="G1" s="18" t="str">
        <x:v>Why it gets missed</x:v>
      </x:c>
      <x:c r="H1" s="18" t="str">
        <x:v>Proposed product capability</x:v>
      </x:c>
      <x:c r="I1" s="18" t="str">
        <x:v>Data needed</x:v>
      </x:c>
      <x:c r="J1" s="18" t="str">
        <x:v>Risk level</x:v>
      </x:c>
      <x:c r="K1" s="18" t="str">
        <x:v>Safety concern</x:v>
      </x:c>
      <x:c r="L1" s="18" t="str">
        <x:v>How it helps clinician workflow</x:v>
      </x:c>
      <x:c r="M1" s="18" t="str">
        <x:v>How it helps patient voice</x:v>
      </x:c>
      <x:c r="N1" s="18" t="str">
        <x:v>Limitations</x:v>
      </x:c>
      <x:c r="O1" s="18" t="str">
        <x:v>Regions/settings where it may or may not work</x:v>
      </x:c>
      <x:c r="P1" s="18" t="str">
        <x:v>Status</x:v>
      </x:c>
    </x:row>
    <x:row r="2">
      <x:c r="A2" s="19" t="str">
        <x:v>Diagnostic episode layer / unresolved-problem tracker</x:v>
      </x:c>
      <x:c r="B2" s="19" t="str">
        <x:v>Repeated visits, tests, referrals, messages and persistent symptoms are treated as separate encounters instead of one unresolved diagnostic thread.</x:v>
      </x:c>
      <x:c r="C2" s="19" t="str">
        <x:v>research_evidence_package_health_system_patient_flows_2026-05-30.tar.gz::04_topic_outputs/diagrams_or_flows/flow_maps.csv::FM09; S20; S21; research_evidence_package_missed_signals_diagnostic_errors_2026-05-30.tar.gz::04_topic_outputs/other_outputs/product_opportunities.csv::Longitudinal diagnostic signal accumulator; B-001/B-009/B-014/B-020/B-021; research_evidence_package_patient_complaints_identification_failures_2026-05-30.tar.gz::02_extracted_evidence/cases_or_examples.csv::C008; research_evidence_package_clinician_side_diagnostic_pain_points_2026-05-30.tar.gz::02_extracted_evidence/evidence_items.csv::E005; research_evidence_package_global_health_issue_identification_2026-05-30.tar.gz::02_extracted_evidence/cases_or_examples.csv::C001</x:v>
      </x:c>
      <x:c r="D2" s="19" t="str">
        <x:v>medical history; follow-up; repeat visit; specialist review; long-term monitoring</x:v>
      </x:c>
      <x:c r="E2" s="19" t="str">
        <x:v>doctor; nurse; patient; specialist; admin</x:v>
      </x:c>
      <x:c r="F2" s="19" t="str">
        <x:v>Persistent/recurrent symptoms across visits and providers.</x:v>
      </x:c>
      <x:c r="G2" s="19" t="str">
        <x:v>Fragmented workflow, time pressure, handoffs, inadequate ownership, digital forms or EHR interfaces hide longitudinal context.</x:v>
      </x:c>
      <x:c r="H2" s="19" t="str">
        <x:v>Diagnostic episode layer / unresolved-problem tracker</x:v>
      </x:c>
      <x:c r="I2" s="19" t="str">
        <x:v>Symptoms with dates; prior visits; prior diagnoses; family/high-risk history; labs/imaging; referrals; follow-up tasks; patient concern status.</x:v>
      </x:c>
      <x:c r="J2" s="19" t="str">
        <x:v>High</x:v>
      </x:c>
      <x:c r="K2" s="19" t="str">
        <x:v>Creates noisy clusters or false reassurance if an issue is marked resolved too early.</x:v>
      </x:c>
      <x:c r="L2" s="19" t="str">
        <x:v>Surfaces a concise, source-linked, actionable view; assigns owner/deadline; reduces searching through notes, results and referral queues.</x:v>
      </x:c>
      <x:c r="M2" s="19" t="str">
        <x:v>Preserves patient words and concern status; shows what is unresolved, pending, referred, or closed; gives correction/escalation path where appropriate.</x:v>
      </x:c>
      <x:c r="N2" s="19" t="str">
        <x:v>Every issue has status, owner, next action, uncertainty statement, and manual clinician override; monitor false positives and missed escalations.</x:v>
      </x:c>
      <x:c r="O2" s="19" t="str">
        <x:v>Configure by care-flow model and resources; avoid assuming stable primary-care owner, integrated EHR, broadband, specialist access, or interpreters unless present.</x:v>
      </x:c>
      <x:c r="P2" s="19" t="str">
        <x:v>strongly supported</x:v>
      </x:c>
    </x:row>
    <x:row r="3">
      <x:c r="A3" s="19" t="str">
        <x:v>Rich patient intake timeline with change-from-baseline</x:v>
      </x:c>
      <x:c r="B3" s="19" t="str">
        <x:v>Current intake often captures a chief complaint but loses timeline, functional impact, patient fear, prior failed contacts, and what changed from normal.</x:v>
      </x:c>
      <x:c r="C3" s="19" t="str">
        <x:v>research_evidence_package_health_system_patient_flows_2026-05-30.tar.gz::flow_maps.csv::FM05/FM06/FM07; 02_extracted_evidence/evidence_items.csv::E011; research_evidence_package_clinician_side_diagnostic_pain_points_2026-05-30.tar.gz::02_extracted_evidence/evidence_items.csv::E003/E006/E007; research_evidence_package_patient_complaints_identification_failures_2026-05-30.tar.gz::02_extracted_evidence/cases_or_examples.csv::C001/C002/C005; research_evidence_package_missed_signals_diagnostic_errors_2026-05-30.tar.gz::cases_or_examples.csv::B-002/B-023</x:v>
      </x:c>
      <x:c r="D3" s="19" t="str">
        <x:v>before visit; intake form; medical history</x:v>
      </x:c>
      <x:c r="E3" s="19" t="str">
        <x:v>patient; caregiver; nurse; doctor</x:v>
      </x:c>
      <x:c r="F3" s="19" t="str">
        <x:v>Timeline, function, fear, prior failed contacts, family history.</x:v>
      </x:c>
      <x:c r="G3" s="19" t="str">
        <x:v>Fragmented workflow, time pressure, handoffs, inadequate ownership, digital forms or EHR interfaces hide longitudinal context.</x:v>
      </x:c>
      <x:c r="H3" s="19" t="str">
        <x:v>Rich patient intake timeline with change-from-baseline</x:v>
      </x:c>
      <x:c r="I3" s="19" t="str">
        <x:v>Free-text patient words; structured symptoms; onset/duration; severity; daily impact; patient theory/fear; prior tests; diagnoses; family history; medications; photos/documents.</x:v>
      </x:c>
      <x:c r="J3" s="19" t="str">
        <x:v>Medium</x:v>
      </x:c>
      <x:c r="K3" s="19" t="str">
        <x:v>Long intake creates burden, excludes low-literacy users, or overweights patient self-diagnosis.</x:v>
      </x:c>
      <x:c r="L3" s="19" t="str">
        <x:v>Surfaces a concise, source-linked, actionable view; assigns owner/deadline; reduces searching through notes, results and referral queues.</x:v>
      </x:c>
      <x:c r="M3" s="19" t="str">
        <x:v>Preserves patient words and concern status; shows what is unresolved, pending, referred, or closed; gives correction/escalation path where appropriate.</x:v>
      </x:c>
      <x:c r="N3" s="19" t="str">
        <x:v>Adaptive short form; plain language; translation and caregiver mode; separate patient narrative from clinician assessment; emergency escalation language.</x:v>
      </x:c>
      <x:c r="O3" s="19" t="str">
        <x:v>Configure by care-flow model and resources; avoid assuming stable primary-care owner, integrated EHR, broadband, specialist access, or interpreters unless present.</x:v>
      </x:c>
      <x:c r="P3" s="19" t="str">
        <x:v>strongly supported</x:v>
      </x:c>
    </x:row>
    <x:row r="4">
      <x:c r="A4" s="19" t="str">
        <x:v>Repeat-visit diagnostic reset trigger</x:v>
      </x:c>
      <x:c r="B4" s="19" t="str">
        <x:v>Return visits for the same or worsening complaint are handled as fresh visits rather than safety signals.</x:v>
      </x:c>
      <x:c r="C4" s="19" t="str">
        <x:v>research_evidence_package_missed_signals_diagnostic_errors_2026-05-30.tar.gz::product_opportunities.csv::Repeat-visit diagnostic reset; B-006/B-010/B-028/B-030; research_evidence_package_health_system_patient_flows_2026-05-30.tar.gz::flow_maps.csv::FM09; 02_extracted_evidence/cases_or_examples.csv::C002/C009; research_evidence_package_clinician_side_diagnostic_pain_points_2026-05-30.tar.gz::cases_or_examples.csv::C003; research_evidence_package_global_health_issue_identification_2026-05-30.tar.gz::cases_or_examples.csv::C001</x:v>
      </x:c>
      <x:c r="D4" s="19" t="str">
        <x:v>arrival; nurse triage; first clinician assessment; repeat visit; emergency escalation</x:v>
      </x:c>
      <x:c r="E4" s="19" t="str">
        <x:v>doctor; nurse triage; urgent care; ED; primary care</x:v>
      </x:c>
      <x:c r="F4" s="19" t="str">
        <x:v>Return visit as escalation signal.</x:v>
      </x:c>
      <x:c r="G4" s="19" t="str">
        <x:v>Fragmented workflow, time pressure, handoffs, inadequate ownership, digital forms or EHR interfaces hide longitudinal context.</x:v>
      </x:c>
      <x:c r="H4" s="19" t="str">
        <x:v>Repeat-visit diagnostic reset trigger</x:v>
      </x:c>
      <x:c r="I4" s="19" t="str">
        <x:v>Encounter dates; presenting complaints; symptom similarity; discharge diagnosis; deterioration markers; new vitals/labs; prior safety-net instructions.</x:v>
      </x:c>
      <x:c r="J4" s="19" t="str">
        <x:v>High</x:v>
      </x:c>
      <x:c r="K4" s="19" t="str">
        <x:v>Alert fatigue or punitive framing toward appropriate return visits.</x:v>
      </x:c>
      <x:c r="L4" s="19" t="str">
        <x:v>Surfaces a concise, source-linked, actionable view; assigns owner/deadline; reduces searching through notes, results and referral queues.</x:v>
      </x:c>
      <x:c r="M4" s="19" t="str">
        <x:v>Preserves patient words and concern status; shows what is unresolved, pending, referred, or closed; gives correction/escalation path where appropriate.</x:v>
      </x:c>
      <x:c r="N4" s="19" t="str">
        <x:v>Trigger only on meaningful persistence/worsening/repeat count; present as diagnostic reset support; require clinician acknowledgment and override rationale.</x:v>
      </x:c>
      <x:c r="O4" s="19" t="str">
        <x:v>Configure by care-flow model and resources; avoid assuming stable primary-care owner, integrated EHR, broadband, specialist access, or interpreters unless present.</x:v>
      </x:c>
      <x:c r="P4" s="19" t="str">
        <x:v>strongly supported</x:v>
      </x:c>
    </x:row>
    <x:row r="5">
      <x:c r="A5" s="19" t="str">
        <x:v>Closed-loop abnormal result ownership ledger</x:v>
      </x:c>
      <x:c r="B5" s="19" t="str">
        <x:v>Abnormal lab, imaging, microbiology or histology results can be seen, filed, or lost without clear action, patient notification, or accountable owner.</x:v>
      </x:c>
      <x:c r="C5" s="19" t="str">
        <x:v>research_evidence_package_clinician_side_diagnostic_pain_points_2026-05-30.tar.gz::evidence_items.csv::E001/E015; research_evidence_package_missed_signals_diagnostic_errors_2026-05-30.tar.gz::product_opportunities.csv::Closed-loop abnormal result ownership; B-011/B-012/B-015/B-017/B-018; research_evidence_package_patient_complaints_identification_failures_2026-05-30.tar.gz::cases_or_examples.csv::C010/C011; sources S013/S014/S035; research_evidence_package_health_system_patient_flows_2026-05-30.tar.gz::flow_maps.csv::FM08; sources S19/S24/S25; research_evidence_package_global_health_issue_identification_2026-05-30.tar.gz::cases_or_examples.csv::C002</x:v>
      </x:c>
      <x:c r="D5" s="19" t="str">
        <x:v>lab interpretation; imaging interpretation; discharge; follow-up</x:v>
      </x:c>
      <x:c r="E5" s="19" t="str">
        <x:v>doctor; nurse; admin; patient; specialist</x:v>
      </x:c>
      <x:c r="F5" s="19" t="str">
        <x:v>Abnormal result requiring action.</x:v>
      </x:c>
      <x:c r="G5" s="19" t="str">
        <x:v>Fragmented workflow, time pressure, handoffs, inadequate ownership, digital forms or EHR interfaces hide longitudinal context.</x:v>
      </x:c>
      <x:c r="H5" s="19" t="str">
        <x:v>Closed-loop abnormal result ownership ledger</x:v>
      </x:c>
      <x:c r="I5" s="19" t="str">
        <x:v>Order, result, abnormality class, criticality, reviewer, owner, backup owner, deadline, action, patient-notified status, closure reason.</x:v>
      </x:c>
      <x:c r="J5" s="19" t="str">
        <x:v>High</x:v>
      </x:c>
      <x:c r="K5" s="19" t="str">
        <x:v>More alerts without ownership; patients receive alarming results without interpretation.</x:v>
      </x:c>
      <x:c r="L5" s="19" t="str">
        <x:v>Surfaces a concise, source-linked, actionable view; assigns owner/deadline; reduces searching through notes, results and referral queues.</x:v>
      </x:c>
      <x:c r="M5" s="19" t="str">
        <x:v>Preserves patient words and concern status; shows what is unresolved, pending, referred, or closed; gives correction/escalation path where appropriate.</x:v>
      </x:c>
      <x:c r="N5" s="19" t="str">
        <x:v>Risk-ranked worklist; escalation by criticality; backup owner; patient notification only with pathway to explanation; audit overdue closures.</x:v>
      </x:c>
      <x:c r="O5" s="19" t="str">
        <x:v>Configure by care-flow model and resources; avoid assuming stable primary-care owner, integrated EHR, broadband, specialist access, or interpreters unless present.</x:v>
      </x:c>
      <x:c r="P5" s="19" t="str">
        <x:v>strongly supported</x:v>
      </x:c>
    </x:row>
    <x:row r="6">
      <x:c r="A6" s="19" t="str">
        <x:v>Referral completion and transparency tracker</x:v>
      </x:c>
      <x:c r="B6" s="19" t="str">
        <x:v>Referral placement is confused with completed specialty assessment; rejection, advice-only, wrong specialty, missing information, scheduling failure, and non-attendance are invisible.</x:v>
      </x:c>
      <x:c r="C6" s="19" t="str">
        <x:v>research_evidence_package_health_system_patient_flows_2026-05-30.tar.gz::flow_maps.csv::FM10/FM11; sources S27/S28/S29; research_evidence_package_clinician_side_diagnostic_pain_points_2026-05-30.tar.gz::evidence_items.csv::E013/E014; research_evidence_package_patient_complaints_identification_failures_2026-05-30.tar.gz::cases_or_examples.csv::C006/C016; reviews R007/R008; research_evidence_package_global_health_issue_identification_2026-05-30.tar.gz::cases_or_examples.csv::C005/C006; research_evidence_package_missed_signals_diagnostic_errors_2026-05-30.tar.gz::cases_or_examples.csv::B-005/B-029/B-032</x:v>
      </x:c>
      <x:c r="D6" s="19" t="str">
        <x:v>referral; specialist review; follow-up</x:v>
      </x:c>
      <x:c r="E6" s="19" t="str">
        <x:v>doctor; patient; admin; specialist</x:v>
      </x:c>
      <x:c r="F6" s="19" t="str">
        <x:v>Referral not actually completed or returned/advice-only.</x:v>
      </x:c>
      <x:c r="G6" s="19" t="str">
        <x:v>Fragmented workflow, time pressure, handoffs, inadequate ownership, digital forms or EHR interfaces hide longitudinal context.</x:v>
      </x:c>
      <x:c r="H6" s="19" t="str">
        <x:v>Referral completion and transparency tracker</x:v>
      </x:c>
      <x:c r="I6" s="19" t="str">
        <x:v>Referral request, clinical question, attachments, priority, destination, status, reason returned/rejected, appointment date, attendance, specialist response, next owner.</x:v>
      </x:c>
      <x:c r="J6" s="19" t="str">
        <x:v>High</x:v>
      </x:c>
      <x:c r="K6" s="19" t="str">
        <x:v>Status labels are ambiguous or patients interpret pathway absence as diagnostic exclusion.</x:v>
      </x:c>
      <x:c r="L6" s="19" t="str">
        <x:v>Surfaces a concise, source-linked, actionable view; assigns owner/deadline; reduces searching through notes, results and referral queues.</x:v>
      </x:c>
      <x:c r="M6" s="19" t="str">
        <x:v>Preserves patient words and concern status; shows what is unresolved, pending, referred, or closed; gives correction/escalation path where appropriate.</x:v>
      </x:c>
      <x:c r="N6" s="19" t="str">
        <x:v>Separate “no pathway”, “more info needed”, “wrong service”, “clinical advice only”, and “diagnosis ruled out”; require follow-up owner for advice-only outcomes.</x:v>
      </x:c>
      <x:c r="O6" s="19" t="str">
        <x:v>Configure by care-flow model and resources; avoid assuming stable primary-care owner, integrated EHR, broadband, specialist access, or interpreters unless present.</x:v>
      </x:c>
      <x:c r="P6" s="19" t="str">
        <x:v>strongly supported</x:v>
      </x:c>
    </x:row>
    <x:row r="7">
      <x:c r="A7" s="19" t="str">
        <x:v>Normal-test trap explainer and persistent-symptom safety net</x:v>
      </x:c>
      <x:c r="B7" s="19" t="str">
        <x:v>Normal or old tests can close an encounter even when symptoms remain severe, persistent, anatomically discordant, episodic, or outside the test’s scope.</x:v>
      </x:c>
      <x:c r="C7" s="19" t="str">
        <x:v>research_evidence_package_missed_signals_diagnostic_errors_2026-05-30.tar.gz::product_opportunities.csv::Normal-test trap explainer; B-001/B-003/B-004/B-016; research_evidence_package_patient_complaints_identification_failures_2026-05-30.tar.gz::cases_or_examples.csv::C003/C007; quote Q003; research_evidence_package_health_system_patient_flows_2026-05-30.tar.gz::main_report.md::normal-test trap; flow FM09; research_evidence_package_global_health_issue_identification_2026-05-30.tar.gz::practical_implications.md::pair normal test results with symptom status</x:v>
      </x:c>
      <x:c r="D7" s="19" t="str">
        <x:v>lab interpretation; imaging interpretation; diagnosis discussion; discharge; follow-up</x:v>
      </x:c>
      <x:c r="E7" s="19" t="str">
        <x:v>doctor; nurse; patient</x:v>
      </x:c>
      <x:c r="F7" s="19" t="str">
        <x:v>Persistent symptoms despite normal/out-of-scope test.</x:v>
      </x:c>
      <x:c r="G7" s="19" t="str">
        <x:v>Fragmented workflow, time pressure, handoffs, inadequate ownership, digital forms or EHR interfaces hide longitudinal context.</x:v>
      </x:c>
      <x:c r="H7" s="19" t="str">
        <x:v>Normal-test trap explainer and persistent-symptom safety net</x:v>
      </x:c>
      <x:c r="I7" s="19" t="str">
        <x:v>Test date, scope/body region, symptom status during test, result status, test limitations text, unresolved symptoms, safety-net plan.</x:v>
      </x:c>
      <x:c r="J7" s="19" t="str">
        <x:v>High</x:v>
      </x:c>
      <x:c r="K7" s="19" t="str">
        <x:v>May promote overtesting or patient anxiety if phrased as “test missed something.”</x:v>
      </x:c>
      <x:c r="L7" s="19" t="str">
        <x:v>Surfaces a concise, source-linked, actionable view; assigns owner/deadline; reduces searching through notes, results and referral queues.</x:v>
      </x:c>
      <x:c r="M7" s="19" t="str">
        <x:v>Preserves patient words and concern status; shows what is unresolved, pending, referred, or closed; gives correction/escalation path where appropriate.</x:v>
      </x:c>
      <x:c r="N7" s="19" t="str">
        <x:v>Use uncertainty language; show what remains unexplained; avoid automatic diagnosis; tie next steps to clinician-reviewed safety net.</x:v>
      </x:c>
      <x:c r="O7" s="19" t="str">
        <x:v>Configure by care-flow model and resources; avoid assuming stable primary-care owner, integrated EHR, broadband, specialist access, or interpreters unless present.</x:v>
      </x:c>
      <x:c r="P7" s="19" t="str">
        <x:v>strongly supported</x:v>
      </x:c>
    </x:row>
    <x:row r="8">
      <x:c r="A8" s="19" t="str">
        <x:v>Patient voice protection: verbatim concern + correction path</x:v>
      </x:c>
      <x:c r="B8" s="19" t="str">
        <x:v>Patients report that histories are cut off, symptoms are minimized, and what matters to them is not documented in a way that survives the visit.</x:v>
      </x:c>
      <x:c r="C8" s="19" t="str">
        <x:v>research_evidence_package_patient_complaints_identification_failures_2026-05-30.tar.gz::quotes.csv::Q001/Q003/Q004/Q018/Q019/Q020; research_evidence_package_health_system_patient_flows_2026-05-30.tar.gz::quotes.csv::Q001/Q002/Q003/Q004; research_evidence_package_missed_signals_diagnostic_errors_2026-05-30.tar.gz::quotes.csv::Q-001/Q-004/Q-005/Q-007; research_evidence_package_clinician_side_diagnostic_pain_points_2026-05-30.tar.gz::quotes.csv::Q001/Q004</x:v>
      </x:c>
      <x:c r="D8" s="19" t="str">
        <x:v>intake form; medical history; diagnosis discussion; discharge; follow-up</x:v>
      </x:c>
      <x:c r="E8" s="19" t="str">
        <x:v>patient; caregiver; doctor; nurse</x:v>
      </x:c>
      <x:c r="F8" s="19" t="str">
        <x:v>Patient’s own words and concerns.</x:v>
      </x:c>
      <x:c r="G8" s="19" t="str">
        <x:v>Fragmented workflow, time pressure, handoffs, inadequate ownership, digital forms or EHR interfaces hide longitudinal context.</x:v>
      </x:c>
      <x:c r="H8" s="19" t="str">
        <x:v>Patient voice protection: verbatim concern + correction path</x:v>
      </x:c>
      <x:c r="I8" s="19" t="str">
        <x:v>Patient quote, top concern, fear of missed disease, functional impact, caregiver concern, clinician response/disposition, patient correction/comment after visit.</x:v>
      </x:c>
      <x:c r="J8" s="19" t="str">
        <x:v>Medium</x:v>
      </x:c>
      <x:c r="K8" s="19" t="str">
        <x:v>Could escalate conflict or turn patient language into stigmatizing chart labels.</x:v>
      </x:c>
      <x:c r="L8" s="19" t="str">
        <x:v>Surfaces a concise, source-linked, actionable view; assigns owner/deadline; reduces searching through notes, results and referral queues.</x:v>
      </x:c>
      <x:c r="M8" s="19" t="str">
        <x:v>Preserves patient words and concern status; shows what is unresolved, pending, referred, or closed; gives correction/escalation path where appropriate.</x:v>
      </x:c>
      <x:c r="N8" s="19" t="str">
        <x:v>Separate patient voice from clinical assessment; respectful language normalization; patient-visible summary corrections; no automated accusation of dismissal.</x:v>
      </x:c>
      <x:c r="O8" s="19" t="str">
        <x:v>Configure by care-flow model and resources; avoid assuming stable primary-care owner, integrated EHR, broadband, specialist access, or interpreters unless present.</x:v>
      </x:c>
      <x:c r="P8" s="19" t="str">
        <x:v>strongly supported</x:v>
      </x:c>
    </x:row>
    <x:row r="9">
      <x:c r="A9" s="19" t="str">
        <x:v>Concern-by-concern visit closure</x:v>
      </x:c>
      <x:c r="B9" s="19" t="str">
        <x:v>Multi-issue visits can close one symptom while leaving other patient-listed concerns unresolved without visible disposition.</x:v>
      </x:c>
      <x:c r="C9" s="19" t="str">
        <x:v>research_evidence_package_patient_complaints_identification_failures_2026-05-30.tar.gz::cases_or_examples.csv::C002; quote Q002; research_evidence_package_clinician_side_diagnostic_pain_points_2026-05-30.tar.gz::evidence_items.csv::E004; research_evidence_package_health_system_patient_flows_2026-05-30.tar.gz::practical_implications.md::specific safety-netting and follow-up</x:v>
      </x:c>
      <x:c r="D9" s="19" t="str">
        <x:v>diagnosis discussion; discharge; follow-up</x:v>
      </x:c>
      <x:c r="E9" s="19" t="str">
        <x:v>doctor; patient; nurse; caregiver</x:v>
      </x:c>
      <x:c r="F9" s="19" t="str">
        <x:v>Unresolved concerns left behind in a multi-issue visit.</x:v>
      </x:c>
      <x:c r="G9" s="19" t="str">
        <x:v>Fragmented workflow, time pressure, handoffs, inadequate ownership, digital forms or EHR interfaces hide longitudinal context.</x:v>
      </x:c>
      <x:c r="H9" s="19" t="str">
        <x:v>Concern-by-concern visit closure</x:v>
      </x:c>
      <x:c r="I9" s="19" t="str">
        <x:v>Patient-listed concern list, clinician disposition for each, unresolved reason, follow-up owner/date, safety-net advice.</x:v>
      </x:c>
      <x:c r="J9" s="19" t="str">
        <x:v>Medium</x:v>
      </x:c>
      <x:c r="K9" s="19" t="str">
        <x:v>Adds documentation burden or gives false sense all issues can be solved in one visit.</x:v>
      </x:c>
      <x:c r="L9" s="19" t="str">
        <x:v>Surfaces a concise, source-linked, actionable view; assigns owner/deadline; reduces searching through notes, results and referral queues.</x:v>
      </x:c>
      <x:c r="M9" s="19" t="str">
        <x:v>Preserves patient words and concern status; shows what is unresolved, pending, referred, or closed; gives correction/escalation path where appropriate.</x:v>
      </x:c>
      <x:c r="N9" s="19" t="str">
        <x:v>Allow “deferred with plan” disposition; keep closure concise; prioritize safety-critical unresolved concerns.</x:v>
      </x:c>
      <x:c r="O9" s="19" t="str">
        <x:v>Configure by care-flow model and resources; avoid assuming stable primary-care owner, integrated EHR, broadband, specialist access, or interpreters unless present.</x:v>
      </x:c>
      <x:c r="P9" s="19" t="str">
        <x:v>supported by some evidence</x:v>
      </x:c>
    </x:row>
    <x:row r="10">
      <x:c r="A10" s="19" t="str">
        <x:v>Doctor-facing concise timeline and red-flag summary</x:v>
      </x:c>
      <x:c r="B10" s="19" t="str">
        <x:v>Clinicians need context quickly but EHR notes, messages, repeated encounters, and copied-forward content bury relevant signals.</x:v>
      </x:c>
      <x:c r="C10" s="19" t="str">
        <x:v>research_evidence_package_clinician_side_diagnostic_pain_points_2026-05-30.tar.gz::evidence_items.csv::E015/E016/E021; quotes Q002/Q011; research_evidence_package_missed_signals_diagnostic_errors_2026-05-30.tar.gz::patterns.md::no one connected the dots; research_evidence_package_health_system_patient_flows_2026-05-30.tar.gz::patterns.md::patient narratives reveal continuity failures earlier than structured records</x:v>
      </x:c>
      <x:c r="D10" s="19" t="str">
        <x:v>first clinician assessment; medical history; specialist review; handoff</x:v>
      </x:c>
      <x:c r="E10" s="19" t="str">
        <x:v>doctor; nurse; specialist</x:v>
      </x:c>
      <x:c r="F10" s="19" t="str">
        <x:v>Relevant prior context buried in notes/results.</x:v>
      </x:c>
      <x:c r="G10" s="19" t="str">
        <x:v>Fragmented workflow, time pressure, handoffs, inadequate ownership, digital forms or EHR interfaces hide longitudinal context.</x:v>
      </x:c>
      <x:c r="H10" s="19" t="str">
        <x:v>Doctor-facing concise timeline and red-flag summary</x:v>
      </x:c>
      <x:c r="I10" s="19" t="str">
        <x:v>Episode timeline, abnormal results, prior diagnoses, repeated visits, red flags, unresolved issues, patient concerns, missing data checklist.</x:v>
      </x:c>
      <x:c r="J10" s="19" t="str">
        <x:v>High</x:v>
      </x:c>
      <x:c r="K10" s="19" t="str">
        <x:v>Summarization hides nuance or introduces errors; clinicians over-trust the summary.</x:v>
      </x:c>
      <x:c r="L10" s="19" t="str">
        <x:v>Surfaces a concise, source-linked, actionable view; assigns owner/deadline; reduces searching through notes, results and referral queues.</x:v>
      </x:c>
      <x:c r="M10" s="19" t="str">
        <x:v>Preserves patient words and concern status; shows what is unresolved, pending, referred, or closed; gives correction/escalation path where appropriate.</x:v>
      </x:c>
      <x:c r="N10" s="19" t="str">
        <x:v>Show source links, timestamps, uncertainty, and missing data; user can expand raw notes/results; flag generated summary as support only.</x:v>
      </x:c>
      <x:c r="O10" s="19" t="str">
        <x:v>Configure by care-flow model and resources; avoid assuming stable primary-care owner, integrated EHR, broadband, specialist access, or interpreters unless present.</x:v>
      </x:c>
      <x:c r="P10" s="19" t="str">
        <x:v>strongly supported</x:v>
      </x:c>
    </x:row>
    <x:row r="11">
      <x:c r="A11" s="19" t="str">
        <x:v>Missing-data checklist for family history, medication access and prior tests</x:v>
      </x:c>
      <x:c r="B11" s="19" t="str">
        <x:v>Family history, medication interruption, prior testing, out-of-system diagnoses, and patient/caregiver concern are treated as background rather than active diagnostic signal.</x:v>
      </x:c>
      <x:c r="C11" s="19" t="str">
        <x:v>research_evidence_package_patient_complaints_identification_failures_2026-05-30.tar.gz::cases_or_examples.csv::C005; research_evidence_package_missed_signals_diagnostic_errors_2026-05-30.tar.gz::cases_or_examples.csv::B-013/B-023/B-031; research_evidence_package_clinician_side_diagnostic_pain_points_2026-05-30.tar.gz::evidence_items.csv::E003; research_evidence_package_global_health_issue_identification_2026-05-30.tar.gz::practical_implications.md::ask what happened before current visit</x:v>
      </x:c>
      <x:c r="D11" s="19" t="str">
        <x:v>before visit; medical history; first clinician assessment</x:v>
      </x:c>
      <x:c r="E11" s="19" t="str">
        <x:v>patient; caregiver; doctor; nurse</x:v>
      </x:c>
      <x:c r="F11" s="19" t="str">
        <x:v>Risk context not captured or not integrated.</x:v>
      </x:c>
      <x:c r="G11" s="19" t="str">
        <x:v>Fragmented workflow, time pressure, handoffs, inadequate ownership, digital forms or EHR interfaces hide longitudinal context.</x:v>
      </x:c>
      <x:c r="H11" s="19" t="str">
        <x:v>Missing-data checklist for family history, medication access and prior tests</x:v>
      </x:c>
      <x:c r="I11" s="19" t="str">
        <x:v>Family history, caregiver input, medication list, access/cost interruptions, prior tests, previous diagnoses, records outside system.</x:v>
      </x:c>
      <x:c r="J11" s="19" t="str">
        <x:v>Medium</x:v>
      </x:c>
      <x:c r="K11" s="19" t="str">
        <x:v>Sensitive financial/family data may be incomplete or privacy-risky.</x:v>
      </x:c>
      <x:c r="L11" s="19" t="str">
        <x:v>Surfaces a concise, source-linked, actionable view; assigns owner/deadline; reduces searching through notes, results and referral queues.</x:v>
      </x:c>
      <x:c r="M11" s="19" t="str">
        <x:v>Preserves patient words and concern status; shows what is unresolved, pending, referred, or closed; gives correction/escalation path where appropriate.</x:v>
      </x:c>
      <x:c r="N11" s="19" t="str">
        <x:v>Use optional patient-controlled disclosure; privacy notices; clinician confirms before action; do not infer blame from non-adherence.</x:v>
      </x:c>
      <x:c r="O11" s="19" t="str">
        <x:v>Configure by care-flow model and resources; avoid assuming stable primary-care owner, integrated EHR, broadband, specialist access, or interpreters unless present.</x:v>
      </x:c>
      <x:c r="P11" s="19" t="str">
        <x:v>supported by some evidence</x:v>
      </x:c>
    </x:row>
    <x:row r="12">
      <x:c r="A12" s="19" t="str">
        <x:v>Triage red-flag co-pilot with reassessment timers</x:v>
      </x:c>
      <x:c r="B12" s="19" t="str">
        <x:v>Arrival, registration and triage sort urgency under pressure; red flags, worsening while waiting, and abnormal vitals can lose salience.</x:v>
      </x:c>
      <x:c r="C12" s="19" t="str">
        <x:v>research_evidence_package_health_system_patient_flows_2026-05-30.tar.gz::flow_maps.csv::FM01/FM02/FM04; sources S01/S03/S04/S09/S10; research_evidence_package_clinician_side_diagnostic_pain_points_2026-05-30.tar.gz::evidence_items.csv::E010; quote Q010; research_evidence_package_missed_signals_diagnostic_errors_2026-05-30.tar.gz::black_zones_by_patient_stage.csv::nurse triage/vitals; B-006/B-016; research_evidence_package_global_health_issue_identification_2026-05-30.tar.gz::cases_or_examples.csv::C003/C008/C009</x:v>
      </x:c>
      <x:c r="D12" s="19" t="str">
        <x:v>arrival; registration; nurse triage; vitals; waiting</x:v>
      </x:c>
      <x:c r="E12" s="19" t="str">
        <x:v>nurse; ED/urgent-care clinician; registration staff</x:v>
      </x:c>
      <x:c r="F12" s="19" t="str">
        <x:v>Danger signs, abnormal vitals and worsening while waiting.</x:v>
      </x:c>
      <x:c r="G12" s="19" t="str">
        <x:v>Fragmented workflow, time pressure, handoffs, inadequate ownership, digital forms or EHR interfaces hide longitudinal context.</x:v>
      </x:c>
      <x:c r="H12" s="19" t="str">
        <x:v>Triage red-flag co-pilot with reassessment timers</x:v>
      </x:c>
      <x:c r="I12" s="19" t="str">
        <x:v>Chief complaint, vitals, danger signs, repeat visit, high-risk history, waiting time, deterioration reports, acuity score.</x:v>
      </x:c>
      <x:c r="J12" s="19" t="str">
        <x:v>High</x:v>
      </x:c>
      <x:c r="K12" s="19" t="str">
        <x:v>Over-alerting nurses, deskilling triage, or unsafe algorithmic downgrades.</x:v>
      </x:c>
      <x:c r="L12" s="19" t="str">
        <x:v>Surfaces a concise, source-linked, actionable view; assigns owner/deadline; reduces searching through notes, results and referral queues.</x:v>
      </x:c>
      <x:c r="M12" s="19" t="str">
        <x:v>Preserves patient words and concern status; shows what is unresolved, pending, referred, or closed; gives correction/escalation path where appropriate.</x:v>
      </x:c>
      <x:c r="N12" s="19" t="str">
        <x:v>Support not replace nurse judgment; make timers actionable; require human reassessment; audit overrides and missed deteriorations.</x:v>
      </x:c>
      <x:c r="O12" s="19" t="str">
        <x:v>Configure by care-flow model and resources; avoid assuming stable primary-care owner, integrated EHR, broadband, specialist access, or interpreters unless present.</x:v>
      </x:c>
      <x:c r="P12" s="19" t="str">
        <x:v>strongly supported</x:v>
      </x:c>
    </x:row>
    <x:row r="13">
      <x:c r="A13" s="19" t="str">
        <x:v>Waiting-room and pre-triage deterioration check-in</x:v>
      </x:c>
      <x:c r="B13" s="19" t="str">
        <x:v>Patients can deteriorate before registration, during self-service intake, or while waiting by acuity order, especially if they do not know what to report.</x:v>
      </x:c>
      <x:c r="C13" s="19" t="str">
        <x:v>research_evidence_package_health_system_patient_flows_2026-05-30.tar.gz::flow_maps.csv::FM02/FM04/FM05; evidence_items.csv::E004/E008; research_evidence_package_global_health_issue_identification_2026-05-30.tar.gz::cases_or_examples.csv::C008/C009; research_evidence_package_missed_signals_diagnostic_errors_2026-05-30.tar.gz::black_zones_by_patient_stage.csv::arrival / registration; nurse triage / vitals</x:v>
      </x:c>
      <x:c r="D13" s="19" t="str">
        <x:v>arrival; registration; waiting; nurse triage; vitals</x:v>
      </x:c>
      <x:c r="E13" s="19" t="str">
        <x:v>patient; registration staff; nurse triage; ED/urgent care</x:v>
      </x:c>
      <x:c r="F13" s="19" t="str">
        <x:v>Deterioration before/after triage.</x:v>
      </x:c>
      <x:c r="G13" s="19" t="str">
        <x:v>Fragmented workflow, time pressure, handoffs, inadequate ownership, digital forms or EHR interfaces hide longitudinal context.</x:v>
      </x:c>
      <x:c r="H13" s="19" t="str">
        <x:v>Waiting-room and pre-triage deterioration check-in</x:v>
      </x:c>
      <x:c r="I13" s="19" t="str">
        <x:v>Arrival time, registration time, waiting duration, new/worse symptoms, patient-reported deterioration, vitals/repeat vitals.</x:v>
      </x:c>
      <x:c r="J13" s="19" t="str">
        <x:v>High</x:v>
      </x:c>
      <x:c r="K13" s="19" t="str">
        <x:v>Check-ins may miss patients with disability/language barriers or increase staff interruptions.</x:v>
      </x:c>
      <x:c r="L13" s="19" t="str">
        <x:v>Surfaces a concise, source-linked, actionable view; assigns owner/deadline; reduces searching through notes, results and referral queues.</x:v>
      </x:c>
      <x:c r="M13" s="19" t="str">
        <x:v>Preserves patient words and concern status; shows what is unresolved, pending, referred, or closed; gives correction/escalation path where appropriate.</x:v>
      </x:c>
      <x:c r="N13" s="19" t="str">
        <x:v>Multilingual/plain-language prompts, accessibility modes, visible escalation button, queue-monitoring rules, staff triage review.</x:v>
      </x:c>
      <x:c r="O13" s="19" t="str">
        <x:v>Configure by care-flow model and resources; avoid assuming stable primary-care owner, integrated EHR, broadband, specialist access, or interpreters unless present.</x:v>
      </x:c>
      <x:c r="P13" s="19" t="str">
        <x:v>region-specific</x:v>
      </x:c>
    </x:row>
    <x:row r="14">
      <x:c r="A14" s="19" t="str">
        <x:v>Digital intake complexity escape hatch</x:v>
      </x:c>
      <x:c r="B14" s="19" t="str">
        <x:v>Online triage and self-service flows can force single-symptom routing, depend on free text, omit prior high-risk history, or exclude patients with digital/language barriers.</x:v>
      </x:c>
      <x:c r="C14" s="19" t="str">
        <x:v>research_evidence_package_clinician_side_diagnostic_pain_points_2026-05-30.tar.gz::evidence_items.csv::E006/E007; quote Q005; research_evidence_package_health_system_patient_flows_2026-05-30.tar.gz::flow_maps.csv::FM05/FM06/FM07; evidence_items.csv::E006/E011; research_evidence_package_patient_complaints_identification_failures_2026-05-30.tar.gz::cases_or_examples.csv::C002; source S033 virtual-care evidence</x:v>
      </x:c>
      <x:c r="D14" s="19" t="str">
        <x:v>before visit; intake form; triage; referral</x:v>
      </x:c>
      <x:c r="E14" s="19" t="str">
        <x:v>patient; admin/care navigator; nurse; GP/primary care</x:v>
      </x:c>
      <x:c r="F14" s="19" t="str">
        <x:v>Complex/multi-symptom presentation in single-symptom flow.</x:v>
      </x:c>
      <x:c r="G14" s="19" t="str">
        <x:v>Fragmented workflow, time pressure, handoffs, inadequate ownership, digital forms or EHR interfaces hide longitudinal context.</x:v>
      </x:c>
      <x:c r="H14" s="19" t="str">
        <x:v>Digital intake complexity escape hatch</x:v>
      </x:c>
      <x:c r="I14" s="19" t="str">
        <x:v>Multiple symptoms, free-text “not captured,” prior diagnoses, recent contacts, high-risk history, language/accessibility need, clinician review trigger.</x:v>
      </x:c>
      <x:c r="J14" s="19" t="str">
        <x:v>High</x:v>
      </x:c>
      <x:c r="K14" s="19" t="str">
        <x:v>A digital form becomes the gatekeeper and hides complexity from humans.</x:v>
      </x:c>
      <x:c r="L14" s="19" t="str">
        <x:v>Surfaces a concise, source-linked, actionable view; assigns owner/deadline; reduces searching through notes, results and referral queues.</x:v>
      </x:c>
      <x:c r="M14" s="19" t="str">
        <x:v>Preserves patient words and concern status; shows what is unresolved, pending, referred, or closed; gives correction/escalation path where appropriate.</x:v>
      </x:c>
      <x:c r="N14" s="19" t="str">
        <x:v>Human-review escape hatch, prior-history auto-pull, multi-symptom support, accessibility fallback, clear emergency redirection.</x:v>
      </x:c>
      <x:c r="O14" s="19" t="str">
        <x:v>Configure by care-flow model and resources; avoid assuming stable primary-care owner, integrated EHR, broadband, specialist access, or interpreters unless present.</x:v>
      </x:c>
      <x:c r="P14" s="19" t="str">
        <x:v>strongly supported</x:v>
      </x:c>
    </x:row>
    <x:row r="15">
      <x:c r="A15" s="19" t="str">
        <x:v>Bias and misattribution guardrail</x:v>
      </x:c>
      <x:c r="B15" s="19" t="str">
        <x:v>Physical symptoms may be dismissed or attributed to anxiety, stress, age, gender, substance use, difficult behavior, or mental illness before dangerous alternatives are considered.</x:v>
      </x:c>
      <x:c r="C15" s="19" t="str">
        <x:v>research_evidence_package_clinician_side_diagnostic_pain_points_2026-05-30.tar.gz::evidence_items.csv::E017/E018; quotes Q012/Q013; research_evidence_package_missed_signals_diagnostic_errors_2026-05-30.tar.gz::product_opportunities.csv::Bias/misattribution guardrail; B-003/B-020/B-021/B-024; research_evidence_package_patient_complaints_identification_failures_2026-05-30.tar.gz::quotes.csv::Q009/Q010/Q014; cases C012/C014/C015; research_evidence_package_global_health_issue_identification_2026-05-30.tar.gz::cases_or_examples.csv::C008; cultural_black_zone_map.md</x:v>
      </x:c>
      <x:c r="D15" s="19" t="str">
        <x:v>first clinician assessment; medical history; diagnosis discussion; specialist review</x:v>
      </x:c>
      <x:c r="E15" s="19" t="str">
        <x:v>doctor; nurse; safety team</x:v>
      </x:c>
      <x:c r="F15" s="19" t="str">
        <x:v>Physical red flags behind stigmatizing or psychiatric attribution.</x:v>
      </x:c>
      <x:c r="G15" s="19" t="str">
        <x:v>Fragmented workflow, time pressure, handoffs, inadequate ownership, digital forms or EHR interfaces hide longitudinal context.</x:v>
      </x:c>
      <x:c r="H15" s="19" t="str">
        <x:v>Bias and misattribution guardrail</x:v>
      </x:c>
      <x:c r="I15" s="19" t="str">
        <x:v>Patient labels, presenting complaint, red flags, objective data, psychiatric/substance history if relevant, clinician reasoning, unresolved symptoms.</x:v>
      </x:c>
      <x:c r="J15" s="19" t="str">
        <x:v>High</x:v>
      </x:c>
      <x:c r="K15" s="19" t="str">
        <x:v>Could stigmatize clinicians/patients or imply mental health diagnoses are not real.</x:v>
      </x:c>
      <x:c r="L15" s="19" t="str">
        <x:v>Surfaces a concise, source-linked, actionable view; assigns owner/deadline; reduces searching through notes, results and referral queues.</x:v>
      </x:c>
      <x:c r="M15" s="19" t="str">
        <x:v>Preserves patient words and concern status; shows what is unresolved, pending, referred, or closed; gives correction/escalation path where appropriate.</x:v>
      </x:c>
      <x:c r="N15" s="19" t="str">
        <x:v>Frame as coexisting physical-risk review; do not accuse; require documentation of red flags considered when symptoms remain discordant.</x:v>
      </x:c>
      <x:c r="O15" s="19" t="str">
        <x:v>Configure by care-flow model and resources; avoid assuming stable primary-care owner, integrated EHR, broadband, specialist access, or interpreters unless present.</x:v>
      </x:c>
      <x:c r="P15" s="19" t="str">
        <x:v>unsafe or needs caution</x:v>
      </x:c>
    </x:row>
    <x:row r="16">
      <x:c r="A16" s="19" t="str">
        <x:v>Lab trend and personal-baseline explorer</x:v>
      </x:c>
      <x:c r="B16" s="19" t="str">
        <x:v>Clinically important change can be hidden when individual values look normal, are viewed out of sequence, or are not connected to symptoms.</x:v>
      </x:c>
      <x:c r="C16" s="19" t="str">
        <x:v>research_evidence_package_missed_signals_diagnostic_errors_2026-05-30.tar.gz::cases_or_examples.csv::B-001/B-014/B-015; black_zones_by_patient_stage.csv::long-term monitoring; research_evidence_package_clinician_side_diagnostic_pain_points_2026-05-30.tar.gz::evidence_items.csv::E015; research_evidence_package_health_system_patient_flows_2026-05-30.tar.gz::reviews_or_complaints.csv::R009; source S54</x:v>
      </x:c>
      <x:c r="D16" s="19" t="str">
        <x:v>lab interpretation; long-term monitoring; specialist review</x:v>
      </x:c>
      <x:c r="E16" s="19" t="str">
        <x:v>doctor; nurse; specialist; patient</x:v>
      </x:c>
      <x:c r="F16" s="19" t="str">
        <x:v>Slow drift or change from individual baseline.</x:v>
      </x:c>
      <x:c r="G16" s="19" t="str">
        <x:v>Fragmented workflow, time pressure, handoffs, inadequate ownership, digital forms or EHR interfaces hide longitudinal context.</x:v>
      </x:c>
      <x:c r="H16" s="19" t="str">
        <x:v>Lab trend and personal-baseline explorer</x:v>
      </x:c>
      <x:c r="I16" s="19" t="str">
        <x:v>Serial labs, dates, reference ranges, personal baseline, symptom status, medications, follow-up plans.</x:v>
      </x:c>
      <x:c r="J16" s="19" t="str">
        <x:v>High</x:v>
      </x:c>
      <x:c r="K16" s="19" t="str">
        <x:v>Trend rules overfit; false positives cause unnecessary workups.</x:v>
      </x:c>
      <x:c r="L16" s="19" t="str">
        <x:v>Surfaces a concise, source-linked, actionable view; assigns owner/deadline; reduces searching through notes, results and referral queues.</x:v>
      </x:c>
      <x:c r="M16" s="19" t="str">
        <x:v>Preserves patient words and concern status; shows what is unresolved, pending, referred, or closed; gives correction/escalation path where appropriate.</x:v>
      </x:c>
      <x:c r="N16" s="19" t="str">
        <x:v>Start with transparent trend visualization and clinician-reviewed thresholds; capture false positives/negatives; no final diagnosis.</x:v>
      </x:c>
      <x:c r="O16" s="19" t="str">
        <x:v>Configure by care-flow model and resources; avoid assuming stable primary-care owner, integrated EHR, broadband, specialist access, or interpreters unless present.</x:v>
      </x:c>
      <x:c r="P16" s="19" t="str">
        <x:v>supported by some evidence</x:v>
      </x:c>
    </x:row>
    <x:row r="17">
      <x:c r="A17" s="19" t="str">
        <x:v>Pending-test discharge contract</x:v>
      </x:c>
      <x:c r="B17" s="19" t="str">
        <x:v>Patients leave care while tests are pending, unclear, or not yet interpreted; no one knows who will act or when.</x:v>
      </x:c>
      <x:c r="C17" s="19" t="str">
        <x:v>research_evidence_package_missed_signals_diagnostic_errors_2026-05-30.tar.gz::product_opportunities.csv::Pending-test discharge contract; B-012/B-017; research_evidence_package_health_system_patient_flows_2026-05-30.tar.gz::flow_maps.csv::FM08; research_evidence_package_patient_complaints_identification_failures_2026-05-30.tar.gz::cases_or_examples.csv::C010/C011; research_evidence_package_clinician_side_diagnostic_pain_points_2026-05-30.tar.gz::evidence_items.csv::E004</x:v>
      </x:c>
      <x:c r="D17" s="19" t="str">
        <x:v>discharge; follow-up; lab/imaging interpretation</x:v>
      </x:c>
      <x:c r="E17" s="19" t="str">
        <x:v>patient; doctor; nurse; admin</x:v>
      </x:c>
      <x:c r="F17" s="19" t="str">
        <x:v>Pending tests and who owns them after discharge.</x:v>
      </x:c>
      <x:c r="G17" s="19" t="str">
        <x:v>Fragmented workflow, time pressure, handoffs, inadequate ownership, digital forms or EHR interfaces hide longitudinal context.</x:v>
      </x:c>
      <x:c r="H17" s="19" t="str">
        <x:v>Pending-test discharge contract</x:v>
      </x:c>
      <x:c r="I17" s="19" t="str">
        <x:v>Pending tests, expected result dates, owner, backup owner, patient contact method, action plan by result type, escalation route.</x:v>
      </x:c>
      <x:c r="J17" s="19" t="str">
        <x:v>High</x:v>
      </x:c>
      <x:c r="K17" s="19" t="str">
        <x:v>Patients may panic from unclear pending-result language or assume no news means normal.</x:v>
      </x:c>
      <x:c r="L17" s="19" t="str">
        <x:v>Surfaces a concise, source-linked, actionable view; assigns owner/deadline; reduces searching through notes, results and referral queues.</x:v>
      </x:c>
      <x:c r="M17" s="19" t="str">
        <x:v>Preserves patient words and concern status; shows what is unresolved, pending, referred, or closed; gives correction/escalation path where appropriate.</x:v>
      </x:c>
      <x:c r="N17" s="19" t="str">
        <x:v>Plain-language plan: “what is pending,” “when you will hear,” “who owns it,” and “what to do if no contact.”</x:v>
      </x:c>
      <x:c r="O17" s="19" t="str">
        <x:v>Configure by care-flow model and resources; avoid assuming stable primary-care owner, integrated EHR, broadband, specialist access, or interpreters unless present.</x:v>
      </x:c>
      <x:c r="P17" s="19" t="str">
        <x:v>strongly supported</x:v>
      </x:c>
    </x:row>
    <x:row r="18">
      <x:c r="A18" s="19" t="str">
        <x:v>Cross-specialty pattern map</x:v>
      </x:c>
      <x:c r="B18" s="19" t="str">
        <x:v>Complex symptoms spanning specialties are split into GI/GYN/cardiology/neuro/psych silos, causing wrong-specialty drift or advice-only loops.</x:v>
      </x:c>
      <x:c r="C18" s="19" t="str">
        <x:v>research_evidence_package_missed_signals_diagnostic_errors_2026-05-30.tar.gz::product_opportunities.csv::Cross-specialty referral map; B-002/B-003/B-024/B-029/B-032; research_evidence_package_patient_complaints_identification_failures_2026-05-30.tar.gz::patterns.md::wrong specialty or unclear referral pathway; research_evidence_package_clinician_side_diagnostic_pain_points_2026-05-30.tar.gz::evidence_items.csv::E013/E014; research_evidence_package_health_system_patient_flows_2026-05-30.tar.gz::flow_maps.csv::FM10/FM11</x:v>
      </x:c>
      <x:c r="D18" s="19" t="str">
        <x:v>referral; specialist review; repeat visit; long-term monitoring</x:v>
      </x:c>
      <x:c r="E18" s="19" t="str">
        <x:v>doctor; specialist; referral coordinator; patient</x:v>
      </x:c>
      <x:c r="F18" s="19" t="str">
        <x:v>Distributed cross-specialty pattern.</x:v>
      </x:c>
      <x:c r="G18" s="19" t="str">
        <x:v>Fragmented workflow, time pressure, handoffs, inadequate ownership, digital forms or EHR interfaces hide longitudinal context.</x:v>
      </x:c>
      <x:c r="H18" s="19" t="str">
        <x:v>Cross-specialty pattern map</x:v>
      </x:c>
      <x:c r="I18" s="19" t="str">
        <x:v>Symptom clusters, prior specialty opinions, referral statuses, unanswered clinical questions, tests already done, patient goals.</x:v>
      </x:c>
      <x:c r="J18" s="19" t="str">
        <x:v>High</x:v>
      </x:c>
      <x:c r="K18" s="19" t="str">
        <x:v>Encourages inappropriate referral volume or suggests specialties unavailable locally.</x:v>
      </x:c>
      <x:c r="L18" s="19" t="str">
        <x:v>Surfaces a concise, source-linked, actionable view; assigns owner/deadline; reduces searching through notes, results and referral queues.</x:v>
      </x:c>
      <x:c r="M18" s="19" t="str">
        <x:v>Preserves patient words and concern status; shows what is unresolved, pending, referred, or closed; gives correction/escalation path where appropriate.</x:v>
      </x:c>
      <x:c r="N18" s="19" t="str">
        <x:v>Local referral directory and criteria; “consider asking” prompts rather than automated referral; shared summary with clinical question.</x:v>
      </x:c>
      <x:c r="O18" s="19" t="str">
        <x:v>Configure by care-flow model and resources; avoid assuming stable primary-care owner, integrated EHR, broadband, specialist access, or interpreters unless present.</x:v>
      </x:c>
      <x:c r="P18" s="19" t="str">
        <x:v>supported by some evidence</x:v>
      </x:c>
    </x:row>
    <x:row r="19">
      <x:c r="A19" s="19" t="str">
        <x:v>Patient-held record and out-of-system care import</x:v>
      </x:c>
      <x:c r="B19" s="19" t="str">
        <x:v>Signals from private, informal, cross-border, pharmacy, traditional, or disconnected care never enter the formal record.</x:v>
      </x:c>
      <x:c r="C19" s="19" t="str">
        <x:v>research_evidence_package_global_health_issue_identification_2026-05-30.tar.gz::evidence_items.csv::E008/E009; cases C004/C005; product_or_system_implications.md; research_evidence_package_health_system_patient_flows_2026-05-30.tar.gz::flow_notes_by_care_setting.csv::telehealth / home/community / rural settings; research_evidence_package_missed_signals_diagnostic_errors_2026-05-30.tar.gz::cases_or_examples.csv::B-031</x:v>
      </x:c>
      <x:c r="D19" s="19" t="str">
        <x:v>before visit; registration; medical history; referral; follow-up</x:v>
      </x:c>
      <x:c r="E19" s="19" t="str">
        <x:v>patient; caregiver; doctor; admin; CHW</x:v>
      </x:c>
      <x:c r="F19" s="19" t="str">
        <x:v>Outside-system visits and records.</x:v>
      </x:c>
      <x:c r="G19" s="19" t="str">
        <x:v>Fragmented workflow, time pressure, handoffs, inadequate ownership, digital forms or EHR interfaces hide longitudinal context.</x:v>
      </x:c>
      <x:c r="H19" s="19" t="str">
        <x:v>Patient-held record and out-of-system care import</x:v>
      </x:c>
      <x:c r="I19" s="19" t="str">
        <x:v>Uploaded photos/PDFs/SMS, manual test entries, prior visit locations, informal provider referrals, medication packs, patient consent/provenance.</x:v>
      </x:c>
      <x:c r="J19" s="19" t="str">
        <x:v>Medium-high</x:v>
      </x:c>
      <x:c r="K19" s="19" t="str">
        <x:v>Poor-quality records or privacy issues contaminate clinical data.</x:v>
      </x:c>
      <x:c r="L19" s="19" t="str">
        <x:v>Surfaces a concise, source-linked, actionable view; assigns owner/deadline; reduces searching through notes, results and referral queues.</x:v>
      </x:c>
      <x:c r="M19" s="19" t="str">
        <x:v>Preserves patient words and concern status; shows what is unresolved, pending, referred, or closed; gives correction/escalation path where appropriate.</x:v>
      </x:c>
      <x:c r="N19" s="19" t="str">
        <x:v>Provenance labels; clinician verification; patient consent; data-quality confidence; do not overwrite official results.</x:v>
      </x:c>
      <x:c r="O19" s="19" t="str">
        <x:v>Configure by care-flow model and resources; avoid assuming stable primary-care owner, integrated EHR, broadband, specialist access, or interpreters unless present.</x:v>
      </x:c>
      <x:c r="P19" s="19" t="str">
        <x:v>region-specific</x:v>
      </x:c>
    </x:row>
    <x:row r="20">
      <x:c r="A20" s="19" t="str">
        <x:v>Language, interpreter and cultural-safety layer</x:v>
      </x:c>
      <x:c r="B20" s="19" t="str">
        <x:v>Language barriers, mistrust, cultural safety failures, racism, and did-not-wait patterns shape whether symptoms are voiced, believed and followed up.</x:v>
      </x:c>
      <x:c r="C20" s="19" t="str">
        <x:v>research_evidence_package_global_health_issue_identification_2026-05-30.tar.gz::sources S023/S024/S026/S027/S028; cases C008/C009/C010; research_evidence_package_clinician_side_diagnostic_pain_points_2026-05-30.tar.gz::evidence_items.csv::E003; research_evidence_package_health_system_patient_flows_2026-05-30.tar.gz::flow_notes_by_care_setting.csv::telehealth / public health screening / community visit</x:v>
      </x:c>
      <x:c r="D20" s="19" t="str">
        <x:v>arrival; registration; intake form; medical history; discharge; follow-up</x:v>
      </x:c>
      <x:c r="E20" s="19" t="str">
        <x:v>patient; caregiver; registration staff; nurse; doctor; liaison</x:v>
      </x:c>
      <x:c r="F20" s="19" t="str">
        <x:v>Interpreter/cultural-safety need and family/community concerns.</x:v>
      </x:c>
      <x:c r="G20" s="19" t="str">
        <x:v>Fragmented workflow, time pressure, handoffs, inadequate ownership, digital forms or EHR interfaces hide longitudinal context.</x:v>
      </x:c>
      <x:c r="H20" s="19" t="str">
        <x:v>Language, interpreter and cultural-safety layer</x:v>
      </x:c>
      <x:c r="I20" s="19" t="str">
        <x:v>Preferred language, interpreter need, translated instructions, liaison request, cultural safety flags, did-not-wait risk, family/community contact preference.</x:v>
      </x:c>
      <x:c r="J20" s="19" t="str">
        <x:v>High</x:v>
      </x:c>
      <x:c r="K20" s="19" t="str">
        <x:v>Tokenistic prompts without staff, interpreters, or liaison capacity.</x:v>
      </x:c>
      <x:c r="L20" s="19" t="str">
        <x:v>Surfaces a concise, source-linked, actionable view; assigns owner/deadline; reduces searching through notes, results and referral queues.</x:v>
      </x:c>
      <x:c r="M20" s="19" t="str">
        <x:v>Preserves patient words and concern status; shows what is unresolved, pending, referred, or closed; gives correction/escalation path where appropriate.</x:v>
      </x:c>
      <x:c r="N20" s="19" t="str">
        <x:v>Connect to actual interpreter/liaison workflows; track completion not just need; avoid ethnicity-based risk scoring.</x:v>
      </x:c>
      <x:c r="O20" s="19" t="str">
        <x:v>Configure by care-flow model and resources; avoid assuming stable primary-care owner, integrated EHR, broadband, specialist access, or interpreters unless present.</x:v>
      </x:c>
      <x:c r="P20" s="19" t="str">
        <x:v>region-specific</x:v>
      </x:c>
    </x:row>
    <x:row r="21">
      <x:c r="A21" s="19" t="str">
        <x:v>Low-resource diagnostic availability and stockout-aware plan</x:v>
      </x:c>
      <x:c r="B21" s="19" t="str">
        <x:v>A diagnostic tool may not exist, be affordable, be in stock, or be reachable; missing diagnostics can look like clinician delay unless explicitly captured.</x:v>
      </x:c>
      <x:c r="C21" s="19" t="str">
        <x:v>research_evidence_package_missed_signals_diagnostic_errors_2026-05-30.tar.gz::cases_or_examples.csv::B-025/B-026/B-027; product_opportunities.csv::Low-resource diagnostic availability layer; research_evidence_package_global_health_issue_identification_2026-05-30.tar.gz::cases C005/C006/C007; evidence_items E010; product implications; research_evidence_package_clinician_side_diagnostic_pain_points_2026-05-30.tar.gz::evidence_items.csv::E019/E020; research_evidence_package_health_system_patient_flows_2026-05-30.tar.gz::flow_maps.csv::FM12 and rural/low-resource clinic notes</x:v>
      </x:c>
      <x:c r="D21" s="19" t="str">
        <x:v>before visit; labs ordered; imaging ordered; referral; follow-up; public health screening</x:v>
      </x:c>
      <x:c r="E21" s="19" t="str">
        <x:v>clinician; CHW; nurse; district manager; patient</x:v>
      </x:c>
      <x:c r="F21" s="19" t="str">
        <x:v>Missing/unavailable/affordability-constrained diagnostic input.</x:v>
      </x:c>
      <x:c r="G21" s="19" t="str">
        <x:v>Fragmented workflow, time pressure, handoffs, inadequate ownership, digital forms or EHR interfaces hide longitudinal context.</x:v>
      </x:c>
      <x:c r="H21" s="19" t="str">
        <x:v>Low-resource diagnostic availability and stockout-aware plan</x:v>
      </x:c>
      <x:c r="I21" s="19" t="str">
        <x:v>Test availability, stockout status, specimen transport, price/affordability, travel distance, referral facility, alternate plan, supply-chain notification.</x:v>
      </x:c>
      <x:c r="J21" s="19" t="str">
        <x:v>High</x:v>
      </x:c>
      <x:c r="K21" s="19" t="str">
        <x:v>Blames clinics/CHWs for infrastructure gaps or creates impossible tasks.</x:v>
      </x:c>
      <x:c r="L21" s="19" t="str">
        <x:v>Surfaces a concise, source-linked, actionable view; assigns owner/deadline; reduces searching through notes, results and referral queues.</x:v>
      </x:c>
      <x:c r="M21" s="19" t="str">
        <x:v>Preserves patient words and concern status; shows what is unresolved, pending, referred, or closed; gives correction/escalation path where appropriate.</x:v>
      </x:c>
      <x:c r="N21" s="19" t="str">
        <x:v>Resource-aware workflows; offline/paper/SMS modes; aggregate stockout reporting; escalation alternatives; no punitive clinician metrics for stockouts.</x:v>
      </x:c>
      <x:c r="O21" s="19" t="str">
        <x:v>Configure by care-flow model and resources; avoid assuming stable primary-care owner, integrated EHR, broadband, specialist access, or interpreters unless present.</x:v>
      </x:c>
      <x:c r="P21" s="19" t="str">
        <x:v>region-specific</x:v>
      </x:c>
    </x:row>
    <x:row r="22">
      <x:c r="A22" s="19" t="str">
        <x:v>CHW and informal-provider referral capture mode</x:v>
      </x:c>
      <x:c r="B22" s="19" t="str">
        <x:v>Community health workers and informal/non-allopathic providers are often first assessment nodes but may not be connected to formal testing and referral loops.</x:v>
      </x:c>
      <x:c r="C22" s="19" t="str">
        <x:v>research_evidence_package_global_health_issue_identification_2026-05-30.tar.gz::cases C005/C007; evidence_items E010; sources S012/S021; research_evidence_package_health_system_patient_flows_2026-05-30.tar.gz::flow_maps.csv::FM12; sources S38/S40/S41/S43; research_evidence_package_clinician_side_diagnostic_pain_points_2026-05-30.tar.gz::evidence_items.csv::E019</x:v>
      </x:c>
      <x:c r="D22" s="19" t="str">
        <x:v>before visit; home/community visit; referral; follow-up</x:v>
      </x:c>
      <x:c r="E22" s="19" t="str">
        <x:v>CHW; informal provider; nurse; primary care; patient</x:v>
      </x:c>
      <x:c r="F22" s="19" t="str">
        <x:v>Community first-contact signal.</x:v>
      </x:c>
      <x:c r="G22" s="19" t="str">
        <x:v>Fragmented workflow, time pressure, handoffs, inadequate ownership, digital forms or EHR interfaces hide longitudinal context.</x:v>
      </x:c>
      <x:c r="H22" s="19" t="str">
        <x:v>CHW and informal-provider referral capture mode</x:v>
      </x:c>
      <x:c r="I22" s="19" t="str">
        <x:v>CHW assessment, danger signs, screening result, referral card/voucher, diagnostic appointment, attendance, counter-referral, stock/supply status.</x:v>
      </x:c>
      <x:c r="J22" s="19" t="str">
        <x:v>High</x:v>
      </x:c>
      <x:c r="K22" s="19" t="str">
        <x:v>Assigns responsibility without training, supplies, supervision or referral backup.</x:v>
      </x:c>
      <x:c r="L22" s="19" t="str">
        <x:v>Surfaces a concise, source-linked, actionable view; assigns owner/deadline; reduces searching through notes, results and referral queues.</x:v>
      </x:c>
      <x:c r="M22" s="19" t="str">
        <x:v>Preserves patient words and concern status; shows what is unresolved, pending, referred, or closed; gives correction/escalation path where appropriate.</x:v>
      </x:c>
      <x:c r="N22" s="19" t="str">
        <x:v>Protocol-bound scope, supervision, offline mode, referral confirmation, local-language prompts, supply/status integration.</x:v>
      </x:c>
      <x:c r="O22" s="19" t="str">
        <x:v>Configure by care-flow model and resources; avoid assuming stable primary-care owner, integrated EHR, broadband, specialist access, or interpreters unless present.</x:v>
      </x:c>
      <x:c r="P22" s="19" t="str">
        <x:v>region-specific</x:v>
      </x:c>
    </x:row>
    <x:row r="23">
      <x:c r="A23" s="19" t="str">
        <x:v>Medication and access-as-diagnostic-clue capture</x:v>
      </x:c>
      <x:c r="B23" s="19" t="str">
        <x:v>Medication interruption, device/supply problems, insurance gaps, and affordability can be a direct clue to deterioration or differential diagnosis.</x:v>
      </x:c>
      <x:c r="C23" s="19" t="str">
        <x:v>research_evidence_package_missed_signals_diagnostic_errors_2026-05-30.tar.gz::product_opportunities.csv::Medication/access-as-diagnostic-clue; B-013/B-031; research_evidence_package_global_health_issue_identification_2026-05-30.tar.gz::patterns.md::cost/transport/access barriers; research_evidence_package_clinician_side_diagnostic_pain_points_2026-05-30.tar.gz::evidence_items.csv::E003</x:v>
      </x:c>
      <x:c r="D23" s="19" t="str">
        <x:v>before visit; medical history; first clinician assessment; follow-up</x:v>
      </x:c>
      <x:c r="E23" s="19" t="str">
        <x:v>patient; doctor; nurse; social worker</x:v>
      </x:c>
      <x:c r="F23" s="19" t="str">
        <x:v>Medication interruption/access barrier as clinical clue.</x:v>
      </x:c>
      <x:c r="G23" s="19" t="str">
        <x:v>Fragmented workflow, time pressure, handoffs, inadequate ownership, digital forms or EHR interfaces hide longitudinal context.</x:v>
      </x:c>
      <x:c r="H23" s="19" t="str">
        <x:v>Medication and access-as-diagnostic-clue capture</x:v>
      </x:c>
      <x:c r="I23" s="19" t="str">
        <x:v>Current meds, missed doses, reason, cost/coverage/transport barriers, device/supply access, pharmacy fill gaps where available.</x:v>
      </x:c>
      <x:c r="J23" s="19" t="str">
        <x:v>Medium-high</x:v>
      </x:c>
      <x:c r="K23" s="19" t="str">
        <x:v>Patients may feel blamed or exposed; affordability data is sensitive.</x:v>
      </x:c>
      <x:c r="L23" s="19" t="str">
        <x:v>Surfaces a concise, source-linked, actionable view; assigns owner/deadline; reduces searching through notes, results and referral queues.</x:v>
      </x:c>
      <x:c r="M23" s="19" t="str">
        <x:v>Preserves patient words and concern status; shows what is unresolved, pending, referred, or closed; gives correction/escalation path where appropriate.</x:v>
      </x:c>
      <x:c r="N23" s="19" t="str">
        <x:v>Ask nonjudgmentally; mark patient-controlled sensitive data; link to assistance/referral resources; do not equate cost barriers with noncompliance.</x:v>
      </x:c>
      <x:c r="O23" s="19" t="str">
        <x:v>Configure by care-flow model and resources; avoid assuming stable primary-care owner, integrated EHR, broadband, specialist access, or interpreters unless present.</x:v>
      </x:c>
      <x:c r="P23" s="19" t="str">
        <x:v>supported by some evidence</x:v>
      </x:c>
    </x:row>
    <x:row r="24">
      <x:c r="A24" s="19" t="str">
        <x:v>Note-diff and copied-forward detection</x:v>
      </x:c>
      <x:c r="B24" s="19" t="str">
        <x:v>Long redundant notes obscure new facts, changed assessments, unresolved problems, and copied-forward assumptions.</x:v>
      </x:c>
      <x:c r="C24" s="19" t="str">
        <x:v>research_evidence_package_clinician_side_diagnostic_pain_points_2026-05-30.tar.gz::evidence_items.csv::E016; product implications; research_evidence_package_missed_signals_diagnostic_errors_2026-05-30.tar.gz::patterns.md::no one connected the dots; normal-test trap; research_evidence_package_health_system_patient_flows_2026-05-30.tar.gz::patterns.md::patient narratives reveal continuity failures</x:v>
      </x:c>
      <x:c r="D24" s="19" t="str">
        <x:v>history review; handoff; specialist review; follow-up</x:v>
      </x:c>
      <x:c r="E24" s="19" t="str">
        <x:v>doctor; specialist; nurse; safety reviewer</x:v>
      </x:c>
      <x:c r="F24" s="19" t="str">
        <x:v>New/changed facts hidden in note bloat.</x:v>
      </x:c>
      <x:c r="G24" s="19" t="str">
        <x:v>Fragmented workflow, time pressure, handoffs, inadequate ownership, digital forms or EHR interfaces hide longitudinal context.</x:v>
      </x:c>
      <x:c r="H24" s="19" t="str">
        <x:v>Note-diff and copied-forward detection</x:v>
      </x:c>
      <x:c r="I24" s="19" t="str">
        <x:v>Visit notes, version history, problem list, new vs copied text, changed diagnoses/plans, unresolved tasks.</x:v>
      </x:c>
      <x:c r="J24" s="19" t="str">
        <x:v>Medium-high</x:v>
      </x:c>
      <x:c r="K24" s="19" t="str">
        <x:v>Diffs become another noisy interface or expose legitimate repeated history as error.</x:v>
      </x:c>
      <x:c r="L24" s="19" t="str">
        <x:v>Surfaces a concise, source-linked, actionable view; assigns owner/deadline; reduces searching through notes, results and referral queues.</x:v>
      </x:c>
      <x:c r="M24" s="19" t="str">
        <x:v>Preserves patient words and concern status; shows what is unresolved, pending, referred, or closed; gives correction/escalation path where appropriate.</x:v>
      </x:c>
      <x:c r="N24" s="19" t="str">
        <x:v>Prioritize clinically meaningful changes; allow clinician dismissal; tie output to unresolved episode summary.</x:v>
      </x:c>
      <x:c r="O24" s="19" t="str">
        <x:v>Configure by care-flow model and resources; avoid assuming stable primary-care owner, integrated EHR, broadband, specialist access, or interpreters unless present.</x:v>
      </x:c>
      <x:c r="P24" s="19" t="str">
        <x:v>supported by some evidence</x:v>
      </x:c>
    </x:row>
    <x:row r="25">
      <x:c r="A25" s="19" t="str">
        <x:v>Workload-aware alert management and risk-ranked worklists</x:v>
      </x:c>
      <x:c r="B25" s="19" t="str">
        <x:v>More alerts can worsen the exact overload that causes missed abnormal results and poor follow-up.</x:v>
      </x:c>
      <x:c r="C25" s="19" t="str">
        <x:v>research_evidence_package_clinician_side_diagnostic_pain_points_2026-05-30.tar.gz::evidence_items.csv::E001/E011/E015/E021; quotes Q003/Q008/Q010/Q011; research_evidence_package_health_system_patient_flows_2026-05-30.tar.gz::main_report.md::front-door workflows sort urgency before diagnosis; research_evidence_package_missed_signals_diagnostic_errors_2026-05-30.tar.gz::risks_and_safety_notes.md::over-alert risk</x:v>
      </x:c>
      <x:c r="D25" s="19" t="str">
        <x:v>all stages; lab interpretation; follow-up; handoff</x:v>
      </x:c>
      <x:c r="E25" s="19" t="str">
        <x:v>doctor; nurse; admin; safety lead</x:v>
      </x:c>
      <x:c r="F25" s="19" t="str">
        <x:v>Important task buried in high-volume alerts/inbox.</x:v>
      </x:c>
      <x:c r="G25" s="19" t="str">
        <x:v>Fragmented workflow, time pressure, handoffs, inadequate ownership, digital forms or EHR interfaces hide longitudinal context.</x:v>
      </x:c>
      <x:c r="H25" s="19" t="str">
        <x:v>Workload-aware alert management and risk-ranked worklists</x:v>
      </x:c>
      <x:c r="I25" s="19" t="str">
        <x:v>Alert type, criticality, patient risk, task age, owner workload, shift/fatigue proxy where ethically appropriate, closure outcome.</x:v>
      </x:c>
      <x:c r="J25" s="19" t="str">
        <x:v>High</x:v>
      </x:c>
      <x:c r="K25" s="19" t="str">
        <x:v>Creates a new inbox, hides low-frequency serious issues, or routes responsibility unfairly.</x:v>
      </x:c>
      <x:c r="L25" s="19" t="str">
        <x:v>Surfaces a concise, source-linked, actionable view; assigns owner/deadline; reduces searching through notes, results and referral queues.</x:v>
      </x:c>
      <x:c r="M25" s="19" t="str">
        <x:v>Preserves patient words and concern status; shows what is unresolved, pending, referred, or closed; gives correction/escalation path where appropriate.</x:v>
      </x:c>
      <x:c r="N25" s="19" t="str">
        <x:v>Actionable, tiered alerts; suppress duplicates; ownership + escalation; measure false positives/negatives; do not use fatigue data punitively.</x:v>
      </x:c>
      <x:c r="O25" s="19" t="str">
        <x:v>Configure by care-flow model and resources; avoid assuming stable primary-care owner, integrated EHR, broadband, specialist access, or interpreters unless present.</x:v>
      </x:c>
      <x:c r="P25" s="19" t="str">
        <x:v>unsafe or needs caution</x:v>
      </x:c>
    </x:row>
    <x:row r="26">
      <x:c r="A26" s="19" t="str">
        <x:v>Patient/family deterioration escalation route</x:v>
      </x:c>
      <x:c r="B26" s="19" t="str">
        <x:v>Family or patient concern about deterioration may be ignored or lack a route beyond repeating the same complaint.</x:v>
      </x:c>
      <x:c r="C26" s="19" t="str">
        <x:v>research_evidence_package_patient_complaints_identification_failures_2026-05-30.tar.gz::cases_or_examples.csv::C004/C008; source S036 Martha’s Rule; quotes Q004/Q008; research_evidence_package_global_health_issue_identification_2026-05-30.tar.gz::cases_or_examples.csv::C003/C008/C009; research_evidence_package_health_system_patient_flows_2026-05-30.tar.gz::reviews_or_complaints.csv::R003; quotes Q004</x:v>
      </x:c>
      <x:c r="D26" s="19" t="str">
        <x:v>diagnosis discussion; discharge; follow-up; emergency escalation; inpatient/ED waiting</x:v>
      </x:c>
      <x:c r="E26" s="19" t="str">
        <x:v>patient; caregiver; nurse; doctor; safety team</x:v>
      </x:c>
      <x:c r="F26" s="19" t="str">
        <x:v>Patient/family concern about deterioration.</x:v>
      </x:c>
      <x:c r="G26" s="19" t="str">
        <x:v>Fragmented workflow, time pressure, handoffs, inadequate ownership, digital forms or EHR interfaces hide longitudinal context.</x:v>
      </x:c>
      <x:c r="H26" s="19" t="str">
        <x:v>Patient/family deterioration escalation route</x:v>
      </x:c>
      <x:c r="I26" s="19" t="str">
        <x:v>Family concern, deterioration description, current symptoms, prior contacts, escalation request, response owner, outcome.</x:v>
      </x:c>
      <x:c r="J26" s="19" t="str">
        <x:v>High</x:v>
      </x:c>
      <x:c r="K26" s="19" t="str">
        <x:v>Floods escalation pathways or bypasses normal care without capacity.</x:v>
      </x:c>
      <x:c r="L26" s="19" t="str">
        <x:v>Surfaces a concise, source-linked, actionable view; assigns owner/deadline; reduces searching through notes, results and referral queues.</x:v>
      </x:c>
      <x:c r="M26" s="19" t="str">
        <x:v>Preserves patient words and concern status; shows what is unresolved, pending, referred, or closed; gives correction/escalation path where appropriate.</x:v>
      </x:c>
      <x:c r="N26" s="19" t="str">
        <x:v>Clear criteria, named response team, acknowledgment timestamp, triage of escalation requests, respectful language.</x:v>
      </x:c>
      <x:c r="O26" s="19" t="str">
        <x:v>Configure by care-flow model and resources; avoid assuming stable primary-care owner, integrated EHR, broadband, specialist access, or interpreters unless present.</x:v>
      </x:c>
      <x:c r="P26" s="19" t="str">
        <x:v>strongly supported</x:v>
      </x:c>
    </x:row>
    <x:row r="27">
      <x:c r="A27" s="19" t="str">
        <x:v>Diagnosis-status clarity in patient portal</x:v>
      </x:c>
      <x:c r="B27" s="19" t="str">
        <x:v>Patients may see labels, referral decisions or results without knowing whether a diagnosis is confirmed, suspected, excluded, pending, or unexplained.</x:v>
      </x:c>
      <x:c r="C27" s="19" t="str">
        <x:v>research_evidence_package_patient_complaints_identification_failures_2026-05-30.tar.gz::quotes.csv::Q007/Q011/Q012; product implications; research_evidence_package_missed_signals_diagnostic_errors_2026-05-30.tar.gz::product_opportunities.csv::Pending-test discharge contract; research_evidence_package_health_system_patient_flows_2026-05-30.tar.gz::practical_implications.md::record what remains unexplained</x:v>
      </x:c>
      <x:c r="D27" s="19" t="str">
        <x:v>diagnosis discussion; discharge; follow-up; patient portal review</x:v>
      </x:c>
      <x:c r="E27" s="19" t="str">
        <x:v>patient; doctor; admin</x:v>
      </x:c>
      <x:c r="F27" s="19" t="str">
        <x:v>Unclear diagnosis/referral/result status.</x:v>
      </x:c>
      <x:c r="G27" s="19" t="str">
        <x:v>Fragmented workflow, time pressure, handoffs, inadequate ownership, digital forms or EHR interfaces hide longitudinal context.</x:v>
      </x:c>
      <x:c r="H27" s="19" t="str">
        <x:v>Diagnosis-status clarity in patient portal</x:v>
      </x:c>
      <x:c r="I27" s="19" t="str">
        <x:v>Diagnosis status, uncertainty statement, pending tests, what is ruled out/not ruled out, referral status, next action and owner.</x:v>
      </x:c>
      <x:c r="J27" s="19" t="str">
        <x:v>Medium-high</x:v>
      </x:c>
      <x:c r="K27" s="19" t="str">
        <x:v>Over-simplified statuses create false certainty or alarm.</x:v>
      </x:c>
      <x:c r="L27" s="19" t="str">
        <x:v>Surfaces a concise, source-linked, actionable view; assigns owner/deadline; reduces searching through notes, results and referral queues.</x:v>
      </x:c>
      <x:c r="M27" s="19" t="str">
        <x:v>Preserves patient words and concern status; shows what is unresolved, pending, referred, or closed; gives correction/escalation path where appropriate.</x:v>
      </x:c>
      <x:c r="N27" s="19" t="str">
        <x:v>Use clinician-authored uncertainty templates; explain status categories; show who to contact and when.</x:v>
      </x:c>
      <x:c r="O27" s="19" t="str">
        <x:v>Configure by care-flow model and resources; avoid assuming stable primary-care owner, integrated EHR, broadband, specialist access, or interpreters unless present.</x:v>
      </x:c>
      <x:c r="P27" s="19" t="str">
        <x:v>supported by some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55d761816d3b4db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36" hidden="0" customWidth="1"/>
  </x:cols>
  <x:sheetData>
    <x:row r="1" ht="45" customHeight="1">
      <x:c r="A1" s="18" t="str">
        <x:v>High-risk area</x:v>
      </x:c>
      <x:c r="B1" s="18" t="str">
        <x:v>Why risky</x:v>
      </x:c>
      <x:c r="C1" s="18" t="str">
        <x:v>Evidence refs</x:v>
      </x:c>
      <x:c r="D1" s="18" t="str">
        <x:v>Guardrail</x:v>
      </x:c>
    </x:row>
    <x:row r="2">
      <x:c r="A2" s="19" t="str">
        <x:v>False reassurance after normal tests</x:v>
      </x:c>
      <x:c r="B2" s="19" t="str">
        <x:v>Normal tests can be overgeneralized beyond timing/scope.</x:v>
      </x:c>
      <x:c r="C2" s="19" t="str">
        <x:v>research_evidence_package_missed_signals_diagnostic_errors_2026-05-30.tar.gz::Normal-test trap; research_evidence_package_patient_complaints_identification_failures_2026-05-30.tar.gz::C003/C007</x:v>
      </x:c>
      <x:c r="D2" s="19" t="str">
        <x:v>Show test scope/date and symptom status; require unresolved-symptom safety net.</x:v>
      </x:c>
    </x:row>
    <x:row r="3">
      <x:c r="A3" s="19" t="str">
        <x:v>Alert fatigue and inbox overload</x:v>
      </x:c>
      <x:c r="B3" s="19" t="str">
        <x:v>More alerts can hide abnormal results and worsen clinician burden.</x:v>
      </x:c>
      <x:c r="C3" s="19" t="str">
        <x:v>research_evidence_package_clinician_side_diagnostic_pain_points_2026-05-30.tar.gz::E001/Q003; research_evidence_package_clinician_side_diagnostic_pain_points_2026-05-30.tar.gz::risks_and_safety_notes.md</x:v>
      </x:c>
      <x:c r="D3" s="19" t="str">
        <x:v>Risk ranking, deduplication, owner/deadline, false-positive review.</x:v>
      </x:c>
    </x:row>
    <x:row r="4">
      <x:c r="A4" s="19" t="str">
        <x:v>Autonomous diagnosis / automation bias</x:v>
      </x:c>
      <x:c r="B4" s="19" t="str">
        <x:v>Users may treat suggestions as final diagnoses.</x:v>
      </x:c>
      <x:c r="C4" s="19" t="str">
        <x:v>research_evidence_package_health_system_patient_flows_2026-05-30.tar.gz::risks_and_safety_notes.md; research_evidence_package_missed_signals_diagnostic_errors_2026-05-30.tar.gz::risks_and_safety_notes.md</x:v>
      </x:c>
      <x:c r="D4" s="19" t="str">
        <x:v>Support-only language, source links, uncertainty, clinician review and override.</x:v>
      </x:c>
    </x:row>
    <x:row r="5">
      <x:c r="A5" s="19" t="str">
        <x:v>Bias amplification</x:v>
      </x:c>
      <x:c r="B5" s="19" t="str">
        <x:v>Models may reproduce dismissal by age, gender, race, mental-health or difficult-patient labels.</x:v>
      </x:c>
      <x:c r="C5" s="19" t="str">
        <x:v>research_evidence_package_clinician_side_diagnostic_pain_points_2026-05-30.tar.gz::E017/E018; research_evidence_package_global_health_issue_identification_2026-05-30.tar.gz::C008; research_evidence_package_patient_complaints_identification_failures_2026-05-30.tar.gz::Q009/Q010/Q014</x:v>
      </x:c>
      <x:c r="D5" s="19" t="str">
        <x:v>Anti-bias audits; no stigmatizing label rules; physical red-flag review when attribution is discordant.</x:v>
      </x:c>
    </x:row>
    <x:row r="6">
      <x:c r="A6" s="19" t="str">
        <x:v>Privacy and sensitive patient-generated data</x:v>
      </x:c>
      <x:c r="B6" s="19" t="str">
        <x:v>Family history, finances, immigration, mental health and patient photos are sensitive.</x:v>
      </x:c>
      <x:c r="C6" s="19" t="str">
        <x:v>research_evidence_package_global_health_issue_identification_2026-05-30.tar.gz::risks_and_safety_notes.md; research_evidence_package_missed_signals_diagnostic_errors_2026-05-30.tar.gz::Medication/access-as-diagnostic-clue</x:v>
      </x:c>
      <x:c r="D6" s="19" t="str">
        <x:v>Consent, minimization, provenance, role-based access, patient correction/deletion where permitted.</x:v>
      </x:c>
    </x:row>
    <x:row r="7">
      <x:c r="A7" s="19" t="str">
        <x:v>Overtesting and panic language</x:v>
      </x:c>
      <x:c r="B7" s="19" t="str">
        <x:v>Persistent symptom flags may cause anxiety or unnecessary testing.</x:v>
      </x:c>
      <x:c r="C7" s="19" t="str">
        <x:v>research_evidence_package_patient_complaints_identification_failures_2026-05-30.tar.gz::risks_and_safety_notes.md; research_evidence_package_missed_signals_diagnostic_errors_2026-05-30.tar.gz::risks_and_safety_notes.md</x:v>
      </x:c>
      <x:c r="D7" s="19" t="str">
        <x:v>Plain uncertainty language; clinician-reviewed next steps; measure utilization and harm.</x:v>
      </x:c>
    </x:row>
    <x:row r="8">
      <x:c r="A8" s="19" t="str">
        <x:v>Low-resource blame</x:v>
      </x:c>
      <x:c r="B8" s="19" t="str">
        <x:v>Capturing stockouts/referral failures could blame clinics/CHWs for infrastructure gaps.</x:v>
      </x:c>
      <x:c r="C8" s="19" t="str">
        <x:v>research_evidence_package_clinician_side_diagnostic_pain_points_2026-05-30.tar.gz::E019/E020; research_evidence_package_global_health_issue_identification_2026-05-30.tar.gz::C006/C007</x:v>
      </x:c>
      <x:c r="D8" s="19" t="str">
        <x:v>Non-punitive resource reporting and manager dashboards; alternate plans and referral mapping.</x:v>
      </x:c>
    </x:row>
    <x:row r="9">
      <x:c r="A9" s="19" t="str">
        <x:v>Patient-clinician trust/conflict</x:v>
      </x:c>
      <x:c r="B9" s="19" t="str">
        <x:v>Dismissal flags can feel accusatory and escalate conflict.</x:v>
      </x:c>
      <x:c r="C9" s="19" t="str">
        <x:v>research_evidence_package_patient_complaints_identification_failures_2026-05-30.tar.gz::quotes.csv; research_evidence_package_clinician_side_diagnostic_pain_points_2026-05-30.tar.gz::Q012/Q013</x:v>
      </x:c>
      <x:c r="D9" s="19" t="str">
        <x:v>Use “unresolved concern” language; preserve patient voice separately; mediation/correction path.</x:v>
      </x:c>
    </x:row>
    <x:row r="10">
      <x:c r="A10" s="19" t="str">
        <x:v>Summary errors / hidden nuance</x:v>
      </x:c>
      <x:c r="B10" s="19" t="str">
        <x:v>A concise summary may omit rare but critical details.</x:v>
      </x:c>
      <x:c r="C10" s="19" t="str">
        <x:v>research_evidence_package_clinician_side_diagnostic_pain_points_2026-05-30.tar.gz::E016; research_evidence_package_missed_signals_diagnostic_errors_2026-05-30.tar.gz::no one connected the dots</x:v>
      </x:c>
      <x:c r="D10" s="19" t="str">
        <x:v>Source-linked expandable details, uncertainty field, clinician confirmation, audit misses.</x:v>
      </x:c>
    </x:row>
    <x:row r="11">
      <x:c r="A11" s="19" t="str">
        <x:v>Unclear accountability</x:v>
      </x:c>
      <x:c r="B11" s="19" t="str">
        <x:v>A tracker without owner/deadline is another passive record.</x:v>
      </x:c>
      <x:c r="C11" s="19" t="str">
        <x:v>research_evidence_package_clinician_side_diagnostic_pain_points_2026-05-30.tar.gz::E014; research_evidence_package_health_system_patient_flows_2026-05-30.tar.gz::FM08/FM10</x:v>
      </x:c>
      <x:c r="D11" s="19" t="str">
        <x:v>Owner, backup owner, due date, escalation and closure reason required for safety-critical tasks.</x:v>
      </x:c>
    </x:row>
  </x:sheetData>
  <x:pageMargins left="0.7" right="0.7" top="0.75" bottom="0.75" header="0.3" footer="0.3"/>
  <x:tableParts count="1">
    <x:tablePart xmlns:r="http://schemas.openxmlformats.org/officeDocument/2006/relationships" r:id="Rfdfbe6a275ac40e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52" hidden="0" customWidth="1"/>
    <x:col min="4" max="4" width="42" hidden="0" customWidth="1"/>
  </x:cols>
  <x:sheetData>
    <x:row r="1" ht="45" customHeight="1">
      <x:c r="A1" s="18" t="str">
        <x:v>Region / system type</x:v>
      </x:c>
      <x:c r="B1" s="18" t="str">
        <x:v>Evidence refs</x:v>
      </x:c>
      <x:c r="C1" s="18" t="str">
        <x:v>Product adaptation</x:v>
      </x:c>
      <x:c r="D1" s="18" t="str">
        <x:v>May not work if</x:v>
      </x:c>
    </x:row>
    <x:row r="2">
      <x:c r="A2" s="19" t="str">
        <x:v>UK / NHS GP-gatekeeper + e-RS + online consultation</x:v>
      </x:c>
      <x:c r="B2" s="19" t="str">
        <x:v>research_evidence_package_health_system_patient_flows_2026-05-30.tar.gz::FM07-FM11; research_evidence_package_clinician_side_diagnostic_pain_points_2026-05-30.tar.gz::E005/E006/E007; research_evidence_package_patient_complaints_identification_failures_2026-05-30.tar.gz::S011/S036</x:v>
      </x:c>
      <x:c r="C2" s="19" t="str">
        <x:v>Repeat-visit reset, GP continuity view, online intake complexity escape hatch, e-RS referral status taxonomy, Martha’s Rule-style escalation path.</x:v>
      </x:c>
      <x:c r="D2" s="19" t="str">
        <x:v>Primary care capacity and referral queues cannot accept extra work without owner/worklist design.</x:v>
      </x:c>
    </x:row>
    <x:row r="3">
      <x:c r="A3" s="19" t="str">
        <x:v>US / insurance-network and fragmented EHR ecosystem</x:v>
      </x:c>
      <x:c r="B3" s="19" t="str">
        <x:v>research_evidence_package_clinician_side_diagnostic_pain_points_2026-05-30.tar.gz::E001/E002/E014/E015/E016; research_evidence_package_health_system_patient_flows_2026-05-30.tar.gz::S30/S31/S52/S56; research_evidence_package_missed_signals_diagnostic_errors_2026-05-30.tar.gz::B-031</x:v>
      </x:c>
      <x:c r="C3" s="19" t="str">
        <x:v>Cross-organization record import, result/referral closure, cost/insurance/medication access fields, EHR inbox prioritization.</x:v>
      </x:c>
      <x:c r="D3" s="19" t="str">
        <x:v>Interoperability or consent barriers prevent data sharing.</x:v>
      </x:c>
    </x:row>
    <x:row r="4">
      <x:c r="A4" s="19" t="str">
        <x:v>Israel / integrated health plans + underserved periphery</x:v>
      </x:c>
      <x:c r="B4" s="19" t="str">
        <x:v>research_evidence_package_global_health_issue_identification_2026-05-30.tar.gz::E007/E008; C004</x:v>
      </x:c>
      <x:c r="C4" s="19" t="str">
        <x:v>Leverage integrated health-plan data for longitudinal tracking; add out-of-system visits, language/cultural access and transport barriers for Bedouin/periphery communities.</x:v>
      </x:c>
      <x:c r="D4" s="19" t="str">
        <x:v>Out-of-system/private care remains invisible or digital access is poor.</x:v>
      </x:c>
    </x:row>
    <x:row r="5">
      <x:c r="A5" s="19" t="str">
        <x:v>India / fragmented public-private-informal + HWC/ASHAs</x:v>
      </x:c>
      <x:c r="B5" s="19" t="str">
        <x:v>research_evidence_package_global_health_issue_identification_2026-05-30.tar.gz::E009/E010/C005; research_evidence_package_health_system_patient_flows_2026-05-30.tar.gz::FM12; research_evidence_package_clinician_side_diagnostic_pain_points_2026-05-30.tar.gz::E019</x:v>
      </x:c>
      <x:c r="C5" s="19" t="str">
        <x:v>Patient-held record import, CHW/informal referral capture, diagnostic vouchers, offline/low-bandwidth referral tracking, local-language education.</x:v>
      </x:c>
      <x:c r="D5" s="19" t="str">
        <x:v>No supervision, no referral slots, no diagnostic capacity or no patient identifier.</x:v>
      </x:c>
    </x:row>
    <x:row r="6">
      <x:c r="A6" s="19" t="str">
        <x:v>China / open-access specialist and hospital-first pathways</x:v>
      </x:c>
      <x:c r="B6" s="19" t="str">
        <x:v>research_evidence_package_global_health_issue_identification_2026-05-30.tar.gz::E011</x:v>
      </x:c>
      <x:c r="C6" s="19" t="str">
        <x:v>Do not assume a stable GP owner; patient-held diagnostic episode and hospital-to-primary handoff summaries are critical.</x:v>
      </x:c>
      <x:c r="D6" s="19" t="str">
        <x:v>Hospitals do not share data or patients shop across facilities without common ID.</x:v>
      </x:c>
    </x:row>
    <x:row r="7">
      <x:c r="A7" s="19" t="str">
        <x:v>Brazil / Family Health Strategy and CHW household model</x:v>
      </x:c>
      <x:c r="B7" s="19" t="str">
        <x:v>research_evidence_package_global_health_issue_identification_2026-05-30.tar.gz::E012; research_evidence_package_health_system_patient_flows_2026-05-30.tar.gz::S43</x:v>
      </x:c>
      <x:c r="C7" s="19" t="str">
        <x:v>Household registry, CHW follow-up queues, referral bottleneck dashboard, counter-referral tracking.</x:v>
      </x:c>
      <x:c r="D7" s="19" t="str">
        <x:v>Specialty queues remain long and unresolved referrals cannot be acted on.</x:v>
      </x:c>
    </x:row>
    <x:row r="8">
      <x:c r="A8" s="19" t="str">
        <x:v>Sub-Saharan Africa / low-resource cancer, malaria, iCCM pathways</x:v>
      </x:c>
      <x:c r="B8" s="19" t="str">
        <x:v>research_evidence_package_global_health_issue_identification_2026-05-30.tar.gz::C006/C007; research_evidence_package_missed_signals_diagnostic_errors_2026-05-30.tar.gz::B-025/B-026/B-027; research_evidence_package_health_system_patient_flows_2026-05-30.tar.gz::S39/S40/S41/S42</x:v>
      </x:c>
      <x:c r="C8" s="19" t="str">
        <x:v>Stockout-aware protocols, referral completion maps, community danger-sign algorithms, paper/SMS workflows, transport/cost fields.</x:v>
      </x:c>
      <x:c r="D8" s="19" t="str">
        <x:v>Tools assign tasks without diagnostics, medicines or referral transport.</x:v>
      </x:c>
    </x:row>
    <x:row r="9">
      <x:c r="A9" s="19" t="str">
        <x:v>Indigenous communities / cultural-safety overlay</x:v>
      </x:c>
      <x:c r="B9" s="19" t="str">
        <x:v>research_evidence_package_global_health_issue_identification_2026-05-30.tar.gz::C008/C009; S026/S027/S028</x:v>
      </x:c>
      <x:c r="C9" s="19" t="str">
        <x:v>Cultural liaison routing, anti-bias triage audit, did-not-wait prevention, family/community concern capture.</x:v>
      </x:c>
      <x:c r="D9" s="19" t="str">
        <x:v>No staffing, no Indigenous governance, or data used without community trust.</x:v>
      </x:c>
    </x:row>
    <x:row r="10">
      <x:c r="A10" s="19" t="str">
        <x:v>Migrant/refugee health overlay</x:v>
      </x:c>
      <x:c r="B10" s="19" t="str">
        <x:v>research_evidence_package_global_health_issue_identification_2026-05-30.tar.gz::C010; S022/S023/S024/S025</x:v>
      </x:c>
      <x:c r="C10" s="19" t="str">
        <x:v>Interpreter workflow, translated summaries, screening/immunization reconstruction, entitlement/registration help, patient-held record import.</x:v>
      </x:c>
      <x:c r="D10" s="19" t="str">
        <x:v>Eligibility fear, privacy concerns or lack of interpreter capacity prevent use.</x:v>
      </x:c>
    </x:row>
    <x:row r="11">
      <x:c r="A11" s="19" t="str">
        <x:v>Japan/Korea / national screening-heavy workflows</x:v>
      </x:c>
      <x:c r="B11" s="19" t="str">
        <x:v>research_evidence_package_health_system_patient_flows_2026-05-30.tar.gz::S45/S46; research_evidence_package_global_health_issue_identification_2026-05-30.tar.gz::S015/S016</x:v>
      </x:c>
      <x:c r="C11" s="19" t="str">
        <x:v>Screening result follow-up, abnormal-screen diagnostic completion, clear “negative screen does not rule out symptoms” messaging.</x:v>
      </x:c>
      <x:c r="D11" s="19" t="str">
        <x:v>Screening programs and symptomatic care records are not connected.</x:v>
      </x:c>
    </x:row>
    <x:row r="12">
      <x:c r="A12" s="19" t="str">
        <x:v>Rural high-income settings</x:v>
      </x:c>
      <x:c r="B12" s="19" t="str">
        <x:v>research_evidence_package_global_health_issue_identification_2026-05-30.tar.gz::S029/S030; research_evidence_package_health_system_patient_flows_2026-05-30.tar.gz::rural/telehealth notes</x:v>
      </x:c>
      <x:c r="C12" s="19" t="str">
        <x:v>Telehealth-to-in-person conversion criteria, broadband/transport fields, local diagnostic availability map, referral travel planning.</x:v>
      </x:c>
      <x:c r="D12" s="19" t="str">
        <x:v>Broadband, transport and specialist scarcity are not addressed.</x:v>
      </x:c>
    </x:row>
  </x:sheetData>
  <x:pageMargins left="0.7" right="0.7" top="0.75" bottom="0.75" header="0.3" footer="0.3"/>
  <x:tableParts count="1">
    <x:tablePart xmlns:r="http://schemas.openxmlformats.org/officeDocument/2006/relationships" r:id="Ra9310db45170447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52" hidden="0" customWidth="1"/>
    <x:col min="5" max="5" width="18" hidden="0" customWidth="1"/>
    <x:col min="6" max="6" width="52" hidden="0" customWidth="1"/>
    <x:col min="7" max="7" width="42" hidden="0" customWidth="1"/>
  </x:cols>
  <x:sheetData>
    <x:row r="1" ht="45" customHeight="1">
      <x:c r="A1" s="18" t="str">
        <x:v>Insight ID</x:v>
      </x:c>
      <x:c r="B1" s="18" t="str">
        <x:v>Insight</x:v>
      </x:c>
      <x:c r="C1" s="18" t="str">
        <x:v>Status</x:v>
      </x:c>
      <x:c r="D1" s="18" t="str">
        <x:v>Evidence refs</x:v>
      </x:c>
      <x:c r="E1" s="18" t="str">
        <x:v>Why it matters</x:v>
      </x:c>
      <x:c r="F1" s="18" t="str">
        <x:v>Open questions / cautions</x:v>
      </x:c>
      <x:c r="G1" s="18" t="str">
        <x:v>Next evidence needed</x:v>
      </x:c>
    </x:row>
    <x:row r="2">
      <x:c r="A2" s="19" t="str">
        <x:v>LI-001</x:v>
      </x:c>
      <x:c r="B2" s="19" t="str">
        <x:v>Diagnostic episode layer / unresolved-problem tracker</x:v>
      </x:c>
      <x:c r="C2" s="19" t="str">
        <x:v>strongly supported</x:v>
      </x:c>
      <x:c r="D2" s="19" t="str">
        <x:v>research_evidence_package_health_system_patient_flows_2026-05-30.tar.gz::04_topic_outputs/diagrams_or_flows/flow_maps.csv::FM09; S20; S21; research_evidence_package_missed_signals_diagnostic_errors_2026-05-30.tar.gz::04_topic_outputs/other_outputs/product_opportunities.csv::Longitudinal diagnostic signal accumulator; B-001/B-009/B-014/B-020/B-021; research_evidence_package_patient_complaints_identification_failures_2026-05-30.tar.gz::02_extracted_evidence/cases_or_examples.csv::C008; research_evidence_package_clinician_side_diagnostic_pain_points_2026-05-30.tar.gz::02_extracted_evidence/evidence_items.csv::E005; research_evidence_package_global_health_issue_identification_2026-05-30.tar.gz::02_extracted_evidence/cases_or_examples.csv::C001</x:v>
      </x:c>
      <x:c r="E2" s="19" t="str">
        <x:v>Repeated visits, tests, referrals, messages and persistent symptoms are treated as separate encounters instead of one unresolved diagnostic thread.</x:v>
      </x:c>
      <x:c r="F2" s="19" t="str">
        <x:v>Creates noisy clusters or false reassurance if an issue is marked resolved too early. Guardrail: Every issue has status, owner, next action, uncertainty statement, and manual clinician override; monitor false positives and missed escalations.</x:v>
      </x:c>
      <x:c r="G2" s="19" t="str">
        <x:v>Implementation evaluation, local workflow observation, alert fatigue/false-positive tracking, and region-specific validation.</x:v>
      </x:c>
    </x:row>
    <x:row r="3">
      <x:c r="A3" s="19" t="str">
        <x:v>LI-002</x:v>
      </x:c>
      <x:c r="B3" s="19" t="str">
        <x:v>Rich patient intake timeline with change-from-baseline</x:v>
      </x:c>
      <x:c r="C3" s="19" t="str">
        <x:v>strongly supported</x:v>
      </x:c>
      <x:c r="D3" s="19" t="str">
        <x:v>research_evidence_package_health_system_patient_flows_2026-05-30.tar.gz::flow_maps.csv::FM05/FM06/FM07; 02_extracted_evidence/evidence_items.csv::E011; research_evidence_package_clinician_side_diagnostic_pain_points_2026-05-30.tar.gz::02_extracted_evidence/evidence_items.csv::E003/E006/E007; research_evidence_package_patient_complaints_identification_failures_2026-05-30.tar.gz::02_extracted_evidence/cases_or_examples.csv::C001/C002/C005; research_evidence_package_missed_signals_diagnostic_errors_2026-05-30.tar.gz::cases_or_examples.csv::B-002/B-023</x:v>
      </x:c>
      <x:c r="E3" s="19" t="str">
        <x:v>Current intake often captures a chief complaint but loses timeline, functional impact, patient fear, prior failed contacts, and what changed from normal.</x:v>
      </x:c>
      <x:c r="F3" s="19" t="str">
        <x:v>Long intake creates burden, excludes low-literacy users, or overweights patient self-diagnosis. Guardrail: Adaptive short form; plain language; translation and caregiver mode; separate patient narrative from clinician assessment; emergency escalation language.</x:v>
      </x:c>
      <x:c r="G3" s="19" t="str">
        <x:v>Implementation evaluation, local workflow observation, alert fatigue/false-positive tracking, and region-specific validation.</x:v>
      </x:c>
    </x:row>
    <x:row r="4">
      <x:c r="A4" s="19" t="str">
        <x:v>LI-003</x:v>
      </x:c>
      <x:c r="B4" s="19" t="str">
        <x:v>Repeat-visit diagnostic reset trigger</x:v>
      </x:c>
      <x:c r="C4" s="19" t="str">
        <x:v>strongly supported</x:v>
      </x:c>
      <x:c r="D4" s="19" t="str">
        <x:v>research_evidence_package_missed_signals_diagnostic_errors_2026-05-30.tar.gz::product_opportunities.csv::Repeat-visit diagnostic reset; B-006/B-010/B-028/B-030; research_evidence_package_health_system_patient_flows_2026-05-30.tar.gz::flow_maps.csv::FM09; 02_extracted_evidence/cases_or_examples.csv::C002/C009; research_evidence_package_clinician_side_diagnostic_pain_points_2026-05-30.tar.gz::cases_or_examples.csv::C003; research_evidence_package_global_health_issue_identification_2026-05-30.tar.gz::cases_or_examples.csv::C001</x:v>
      </x:c>
      <x:c r="E4" s="19" t="str">
        <x:v>Return visits for the same or worsening complaint are handled as fresh visits rather than safety signals.</x:v>
      </x:c>
      <x:c r="F4" s="19" t="str">
        <x:v>Alert fatigue or punitive framing toward appropriate return visits. Guardrail: Trigger only on meaningful persistence/worsening/repeat count; present as diagnostic reset support; require clinician acknowledgment and override rationale.</x:v>
      </x:c>
      <x:c r="G4" s="19" t="str">
        <x:v>Implementation evaluation, local workflow observation, alert fatigue/false-positive tracking, and region-specific validation.</x:v>
      </x:c>
    </x:row>
    <x:row r="5">
      <x:c r="A5" s="19" t="str">
        <x:v>LI-004</x:v>
      </x:c>
      <x:c r="B5" s="19" t="str">
        <x:v>Closed-loop abnormal result ownership ledger</x:v>
      </x:c>
      <x:c r="C5" s="19" t="str">
        <x:v>strongly supported</x:v>
      </x:c>
      <x:c r="D5" s="19" t="str">
        <x:v>research_evidence_package_clinician_side_diagnostic_pain_points_2026-05-30.tar.gz::evidence_items.csv::E001/E015; research_evidence_package_missed_signals_diagnostic_errors_2026-05-30.tar.gz::product_opportunities.csv::Closed-loop abnormal result ownership; B-011/B-012/B-015/B-017/B-018; research_evidence_package_patient_complaints_identification_failures_2026-05-30.tar.gz::cases_or_examples.csv::C010/C011; sources S013/S014/S035; research_evidence_package_health_system_patient_flows_2026-05-30.tar.gz::flow_maps.csv::FM08; sources S19/S24/S25; research_evidence_package_global_health_issue_identification_2026-05-30.tar.gz::cases_or_examples.csv::C002</x:v>
      </x:c>
      <x:c r="E5" s="19" t="str">
        <x:v>Abnormal lab, imaging, microbiology or histology results can be seen, filed, or lost without clear action, patient notification, or accountable owner.</x:v>
      </x:c>
      <x:c r="F5" s="19" t="str">
        <x:v>More alerts without ownership; patients receive alarming results without interpretation. Guardrail: Risk-ranked worklist; escalation by criticality; backup owner; patient notification only with pathway to explanation; audit overdue closures.</x:v>
      </x:c>
      <x:c r="G5" s="19" t="str">
        <x:v>Implementation evaluation, local workflow observation, alert fatigue/false-positive tracking, and region-specific validation.</x:v>
      </x:c>
    </x:row>
    <x:row r="6">
      <x:c r="A6" s="19" t="str">
        <x:v>LI-005</x:v>
      </x:c>
      <x:c r="B6" s="19" t="str">
        <x:v>Referral completion and transparency tracker</x:v>
      </x:c>
      <x:c r="C6" s="19" t="str">
        <x:v>strongly supported</x:v>
      </x:c>
      <x:c r="D6" s="19" t="str">
        <x:v>research_evidence_package_health_system_patient_flows_2026-05-30.tar.gz::flow_maps.csv::FM10/FM11; sources S27/S28/S29; research_evidence_package_clinician_side_diagnostic_pain_points_2026-05-30.tar.gz::evidence_items.csv::E013/E014; research_evidence_package_patient_complaints_identification_failures_2026-05-30.tar.gz::cases_or_examples.csv::C006/C016; reviews R007/R008; research_evidence_package_global_health_issue_identification_2026-05-30.tar.gz::cases_or_examples.csv::C005/C006; research_evidence_package_missed_signals_diagnostic_errors_2026-05-30.tar.gz::cases_or_examples.csv::B-005/B-029/B-032</x:v>
      </x:c>
      <x:c r="E6" s="19" t="str">
        <x:v>Referral placement is confused with completed specialty assessment; rejection, advice-only, wrong specialty, missing information, scheduling failure, and non-attendance are invisible.</x:v>
      </x:c>
      <x:c r="F6" s="19" t="str">
        <x:v>Status labels are ambiguous or patients interpret pathway absence as diagnostic exclusion. Guardrail: Separate “no pathway”, “more info needed”, “wrong service”, “clinical advice only”, and “diagnosis ruled out”; require follow-up owner for advice-only outcomes.</x:v>
      </x:c>
      <x:c r="G6" s="19" t="str">
        <x:v>Implementation evaluation, local workflow observation, alert fatigue/false-positive tracking, and region-specific validation.</x:v>
      </x:c>
    </x:row>
    <x:row r="7">
      <x:c r="A7" s="19" t="str">
        <x:v>LI-006</x:v>
      </x:c>
      <x:c r="B7" s="19" t="str">
        <x:v>Normal-test trap explainer and persistent-symptom safety net</x:v>
      </x:c>
      <x:c r="C7" s="19" t="str">
        <x:v>strongly supported</x:v>
      </x:c>
      <x:c r="D7" s="19" t="str">
        <x:v>research_evidence_package_missed_signals_diagnostic_errors_2026-05-30.tar.gz::product_opportunities.csv::Normal-test trap explainer; B-001/B-003/B-004/B-016; research_evidence_package_patient_complaints_identification_failures_2026-05-30.tar.gz::cases_or_examples.csv::C003/C007; quote Q003; research_evidence_package_health_system_patient_flows_2026-05-30.tar.gz::main_report.md::normal-test trap; flow FM09; research_evidence_package_global_health_issue_identification_2026-05-30.tar.gz::practical_implications.md::pair normal test results with symptom status</x:v>
      </x:c>
      <x:c r="E7" s="19" t="str">
        <x:v>Normal or old tests can close an encounter even when symptoms remain severe, persistent, anatomically discordant, episodic, or outside the test’s scope.</x:v>
      </x:c>
      <x:c r="F7" s="19" t="str">
        <x:v>May promote overtesting or patient anxiety if phrased as “test missed something.” Guardrail: Use uncertainty language; show what remains unexplained; avoid automatic diagnosis; tie next steps to clinician-reviewed safety net.</x:v>
      </x:c>
      <x:c r="G7" s="19" t="str">
        <x:v>Implementation evaluation, local workflow observation, alert fatigue/false-positive tracking, and region-specific validation.</x:v>
      </x:c>
    </x:row>
    <x:row r="8">
      <x:c r="A8" s="19" t="str">
        <x:v>LI-007</x:v>
      </x:c>
      <x:c r="B8" s="19" t="str">
        <x:v>Patient voice protection: verbatim concern + correction path</x:v>
      </x:c>
      <x:c r="C8" s="19" t="str">
        <x:v>strongly supported</x:v>
      </x:c>
      <x:c r="D8" s="19" t="str">
        <x:v>research_evidence_package_patient_complaints_identification_failures_2026-05-30.tar.gz::quotes.csv::Q001/Q003/Q004/Q018/Q019/Q020; research_evidence_package_health_system_patient_flows_2026-05-30.tar.gz::quotes.csv::Q001/Q002/Q003/Q004; research_evidence_package_missed_signals_diagnostic_errors_2026-05-30.tar.gz::quotes.csv::Q-001/Q-004/Q-005/Q-007; research_evidence_package_clinician_side_diagnostic_pain_points_2026-05-30.tar.gz::quotes.csv::Q001/Q004</x:v>
      </x:c>
      <x:c r="E8" s="19" t="str">
        <x:v>Patients report that histories are cut off, symptoms are minimized, and what matters to them is not documented in a way that survives the visit.</x:v>
      </x:c>
      <x:c r="F8" s="19" t="str">
        <x:v>Could escalate conflict or turn patient language into stigmatizing chart labels. Guardrail: Separate patient voice from clinical assessment; respectful language normalization; patient-visible summary corrections; no automated accusation of dismissal.</x:v>
      </x:c>
      <x:c r="G8" s="19" t="str">
        <x:v>Implementation evaluation, local workflow observation, alert fatigue/false-positive tracking, and region-specific validation.</x:v>
      </x:c>
    </x:row>
    <x:row r="9">
      <x:c r="A9" s="19" t="str">
        <x:v>LI-008</x:v>
      </x:c>
      <x:c r="B9" s="19" t="str">
        <x:v>Concern-by-concern visit closure</x:v>
      </x:c>
      <x:c r="C9" s="19" t="str">
        <x:v>supported by some evidence</x:v>
      </x:c>
      <x:c r="D9" s="19" t="str">
        <x:v>research_evidence_package_patient_complaints_identification_failures_2026-05-30.tar.gz::cases_or_examples.csv::C002; quote Q002; research_evidence_package_clinician_side_diagnostic_pain_points_2026-05-30.tar.gz::evidence_items.csv::E004; research_evidence_package_health_system_patient_flows_2026-05-30.tar.gz::practical_implications.md::specific safety-netting and follow-up</x:v>
      </x:c>
      <x:c r="E9" s="19" t="str">
        <x:v>Multi-issue visits can close one symptom while leaving other patient-listed concerns unresolved without visible disposition.</x:v>
      </x:c>
      <x:c r="F9" s="19" t="str">
        <x:v>Adds documentation burden or gives false sense all issues can be solved in one visit. Guardrail: Allow “deferred with plan” disposition; keep closure concise; prioritize safety-critical unresolved concerns.</x:v>
      </x:c>
      <x:c r="G9" s="19" t="str">
        <x:v>Implementation evaluation, local workflow observation, alert fatigue/false-positive tracking, and region-specific validation.</x:v>
      </x:c>
    </x:row>
    <x:row r="10">
      <x:c r="A10" s="19" t="str">
        <x:v>LI-009</x:v>
      </x:c>
      <x:c r="B10" s="19" t="str">
        <x:v>Doctor-facing concise timeline and red-flag summary</x:v>
      </x:c>
      <x:c r="C10" s="19" t="str">
        <x:v>strongly supported</x:v>
      </x:c>
      <x:c r="D10" s="19" t="str">
        <x:v>research_evidence_package_clinician_side_diagnostic_pain_points_2026-05-30.tar.gz::evidence_items.csv::E015/E016/E021; quotes Q002/Q011; research_evidence_package_missed_signals_diagnostic_errors_2026-05-30.tar.gz::patterns.md::no one connected the dots; research_evidence_package_health_system_patient_flows_2026-05-30.tar.gz::patterns.md::patient narratives reveal continuity failures earlier than structured records</x:v>
      </x:c>
      <x:c r="E10" s="19" t="str">
        <x:v>Clinicians need context quickly but EHR notes, messages, repeated encounters, and copied-forward content bury relevant signals.</x:v>
      </x:c>
      <x:c r="F10" s="19" t="str">
        <x:v>Summarization hides nuance or introduces errors; clinicians over-trust the summary. Guardrail: Show source links, timestamps, uncertainty, and missing data; user can expand raw notes/results; flag generated summary as support only.</x:v>
      </x:c>
      <x:c r="G10" s="19" t="str">
        <x:v>Implementation evaluation, local workflow observation, alert fatigue/false-positive tracking, and region-specific validation.</x:v>
      </x:c>
    </x:row>
    <x:row r="11">
      <x:c r="A11" s="19" t="str">
        <x:v>LI-010</x:v>
      </x:c>
      <x:c r="B11" s="19" t="str">
        <x:v>Missing-data checklist for family history, medication access and prior tests</x:v>
      </x:c>
      <x:c r="C11" s="19" t="str">
        <x:v>supported by some evidence</x:v>
      </x:c>
      <x:c r="D11" s="19" t="str">
        <x:v>research_evidence_package_patient_complaints_identification_failures_2026-05-30.tar.gz::cases_or_examples.csv::C005; research_evidence_package_missed_signals_diagnostic_errors_2026-05-30.tar.gz::cases_or_examples.csv::B-013/B-023/B-031; research_evidence_package_clinician_side_diagnostic_pain_points_2026-05-30.tar.gz::evidence_items.csv::E003; research_evidence_package_global_health_issue_identification_2026-05-30.tar.gz::practical_implications.md::ask what happened before current visit</x:v>
      </x:c>
      <x:c r="E11" s="19" t="str">
        <x:v>Family history, medication interruption, prior testing, out-of-system diagnoses, and patient/caregiver concern are treated as background rather than active diagnostic signal.</x:v>
      </x:c>
      <x:c r="F11" s="19" t="str">
        <x:v>Sensitive financial/family data may be incomplete or privacy-risky. Guardrail: Use optional patient-controlled disclosure; privacy notices; clinician confirms before action; do not infer blame from non-adherence.</x:v>
      </x:c>
      <x:c r="G11" s="19" t="str">
        <x:v>Implementation evaluation, local workflow observation, alert fatigue/false-positive tracking, and region-specific validation.</x:v>
      </x:c>
    </x:row>
    <x:row r="12">
      <x:c r="A12" s="19" t="str">
        <x:v>LI-011</x:v>
      </x:c>
      <x:c r="B12" s="19" t="str">
        <x:v>Triage red-flag co-pilot with reassessment timers</x:v>
      </x:c>
      <x:c r="C12" s="19" t="str">
        <x:v>strongly supported</x:v>
      </x:c>
      <x:c r="D12" s="19" t="str">
        <x:v>research_evidence_package_health_system_patient_flows_2026-05-30.tar.gz::flow_maps.csv::FM01/FM02/FM04; sources S01/S03/S04/S09/S10; research_evidence_package_clinician_side_diagnostic_pain_points_2026-05-30.tar.gz::evidence_items.csv::E010; quote Q010; research_evidence_package_missed_signals_diagnostic_errors_2026-05-30.tar.gz::black_zones_by_patient_stage.csv::nurse triage/vitals; B-006/B-016; research_evidence_package_global_health_issue_identification_2026-05-30.tar.gz::cases_or_examples.csv::C003/C008/C009</x:v>
      </x:c>
      <x:c r="E12" s="19" t="str">
        <x:v>Arrival, registration and triage sort urgency under pressure; red flags, worsening while waiting, and abnormal vitals can lose salience.</x:v>
      </x:c>
      <x:c r="F12" s="19" t="str">
        <x:v>Over-alerting nurses, deskilling triage, or unsafe algorithmic downgrades. Guardrail: Support not replace nurse judgment; make timers actionable; require human reassessment; audit overrides and missed deteriorations.</x:v>
      </x:c>
      <x:c r="G12" s="19" t="str">
        <x:v>Implementation evaluation, local workflow observation, alert fatigue/false-positive tracking, and region-specific validation.</x:v>
      </x:c>
    </x:row>
    <x:row r="13">
      <x:c r="A13" s="19" t="str">
        <x:v>LI-012</x:v>
      </x:c>
      <x:c r="B13" s="19" t="str">
        <x:v>Waiting-room and pre-triage deterioration check-in</x:v>
      </x:c>
      <x:c r="C13" s="19" t="str">
        <x:v>region-specific</x:v>
      </x:c>
      <x:c r="D13" s="19" t="str">
        <x:v>research_evidence_package_health_system_patient_flows_2026-05-30.tar.gz::flow_maps.csv::FM02/FM04/FM05; evidence_items.csv::E004/E008; research_evidence_package_global_health_issue_identification_2026-05-30.tar.gz::cases_or_examples.csv::C008/C009; research_evidence_package_missed_signals_diagnostic_errors_2026-05-30.tar.gz::black_zones_by_patient_stage.csv::arrival / registration; nurse triage / vitals</x:v>
      </x:c>
      <x:c r="E13" s="19" t="str">
        <x:v>Patients can deteriorate before registration, during self-service intake, or while waiting by acuity order, especially if they do not know what to report.</x:v>
      </x:c>
      <x:c r="F13" s="19" t="str">
        <x:v>Check-ins may miss patients with disability/language barriers or increase staff interruptions. Guardrail: Multilingual/plain-language prompts, accessibility modes, visible escalation button, queue-monitoring rules, staff triage review.</x:v>
      </x:c>
      <x:c r="G13" s="19" t="str">
        <x:v>Implementation evaluation, local workflow observation, alert fatigue/false-positive tracking, and region-specific validation.</x:v>
      </x:c>
    </x:row>
    <x:row r="14">
      <x:c r="A14" s="19" t="str">
        <x:v>LI-013</x:v>
      </x:c>
      <x:c r="B14" s="19" t="str">
        <x:v>Digital intake complexity escape hatch</x:v>
      </x:c>
      <x:c r="C14" s="19" t="str">
        <x:v>strongly supported</x:v>
      </x:c>
      <x:c r="D14" s="19" t="str">
        <x:v>research_evidence_package_clinician_side_diagnostic_pain_points_2026-05-30.tar.gz::evidence_items.csv::E006/E007; quote Q005; research_evidence_package_health_system_patient_flows_2026-05-30.tar.gz::flow_maps.csv::FM05/FM06/FM07; evidence_items.csv::E006/E011; research_evidence_package_patient_complaints_identification_failures_2026-05-30.tar.gz::cases_or_examples.csv::C002; source S033 virtual-care evidence</x:v>
      </x:c>
      <x:c r="E14" s="19" t="str">
        <x:v>Online triage and self-service flows can force single-symptom routing, depend on free text, omit prior high-risk history, or exclude patients with digital/language barriers.</x:v>
      </x:c>
      <x:c r="F14" s="19" t="str">
        <x:v>A digital form becomes the gatekeeper and hides complexity from humans. Guardrail: Human-review escape hatch, prior-history auto-pull, multi-symptom support, accessibility fallback, clear emergency redirection.</x:v>
      </x:c>
      <x:c r="G14" s="19" t="str">
        <x:v>Implementation evaluation, local workflow observation, alert fatigue/false-positive tracking, and region-specific validation.</x:v>
      </x:c>
    </x:row>
    <x:row r="15">
      <x:c r="A15" s="19" t="str">
        <x:v>LI-014</x:v>
      </x:c>
      <x:c r="B15" s="19" t="str">
        <x:v>Bias and misattribution guardrail</x:v>
      </x:c>
      <x:c r="C15" s="19" t="str">
        <x:v>unsafe or needs caution</x:v>
      </x:c>
      <x:c r="D15" s="19" t="str">
        <x:v>research_evidence_package_clinician_side_diagnostic_pain_points_2026-05-30.tar.gz::evidence_items.csv::E017/E018; quotes Q012/Q013; research_evidence_package_missed_signals_diagnostic_errors_2026-05-30.tar.gz::product_opportunities.csv::Bias/misattribution guardrail; B-003/B-020/B-021/B-024; research_evidence_package_patient_complaints_identification_failures_2026-05-30.tar.gz::quotes.csv::Q009/Q010/Q014; cases C012/C014/C015; research_evidence_package_global_health_issue_identification_2026-05-30.tar.gz::cases_or_examples.csv::C008; cultural_black_zone_map.md</x:v>
      </x:c>
      <x:c r="E15" s="19" t="str">
        <x:v>Physical symptoms may be dismissed or attributed to anxiety, stress, age, gender, substance use, difficult behavior, or mental illness before dangerous alternatives are considered.</x:v>
      </x:c>
      <x:c r="F15" s="19" t="str">
        <x:v>Could stigmatize clinicians/patients or imply mental health diagnoses are not real. Guardrail: Frame as coexisting physical-risk review; do not accuse; require documentation of red flags considered when symptoms remain discordant.</x:v>
      </x:c>
      <x:c r="G15" s="19" t="str">
        <x:v>Implementation evaluation, local workflow observation, alert fatigue/false-positive tracking, and region-specific validation.</x:v>
      </x:c>
    </x:row>
    <x:row r="16">
      <x:c r="A16" s="19" t="str">
        <x:v>LI-015</x:v>
      </x:c>
      <x:c r="B16" s="19" t="str">
        <x:v>Lab trend and personal-baseline explorer</x:v>
      </x:c>
      <x:c r="C16" s="19" t="str">
        <x:v>supported by some evidence</x:v>
      </x:c>
      <x:c r="D16" s="19" t="str">
        <x:v>research_evidence_package_missed_signals_diagnostic_errors_2026-05-30.tar.gz::cases_or_examples.csv::B-001/B-014/B-015; black_zones_by_patient_stage.csv::long-term monitoring; research_evidence_package_clinician_side_diagnostic_pain_points_2026-05-30.tar.gz::evidence_items.csv::E015; research_evidence_package_health_system_patient_flows_2026-05-30.tar.gz::reviews_or_complaints.csv::R009; source S54</x:v>
      </x:c>
      <x:c r="E16" s="19" t="str">
        <x:v>Clinically important change can be hidden when individual values look normal, are viewed out of sequence, or are not connected to symptoms.</x:v>
      </x:c>
      <x:c r="F16" s="19" t="str">
        <x:v>Trend rules overfit; false positives cause unnecessary workups. Guardrail: Start with transparent trend visualization and clinician-reviewed thresholds; capture false positives/negatives; no final diagnosis.</x:v>
      </x:c>
      <x:c r="G16" s="19" t="str">
        <x:v>Implementation evaluation, local workflow observation, alert fatigue/false-positive tracking, and region-specific validation.</x:v>
      </x:c>
    </x:row>
    <x:row r="17">
      <x:c r="A17" s="19" t="str">
        <x:v>LI-016</x:v>
      </x:c>
      <x:c r="B17" s="19" t="str">
        <x:v>Pending-test discharge contract</x:v>
      </x:c>
      <x:c r="C17" s="19" t="str">
        <x:v>strongly supported</x:v>
      </x:c>
      <x:c r="D17" s="19" t="str">
        <x:v>research_evidence_package_missed_signals_diagnostic_errors_2026-05-30.tar.gz::product_opportunities.csv::Pending-test discharge contract; B-012/B-017; research_evidence_package_health_system_patient_flows_2026-05-30.tar.gz::flow_maps.csv::FM08; research_evidence_package_patient_complaints_identification_failures_2026-05-30.tar.gz::cases_or_examples.csv::C010/C011; research_evidence_package_clinician_side_diagnostic_pain_points_2026-05-30.tar.gz::evidence_items.csv::E004</x:v>
      </x:c>
      <x:c r="E17" s="19" t="str">
        <x:v>Patients leave care while tests are pending, unclear, or not yet interpreted; no one knows who will act or when.</x:v>
      </x:c>
      <x:c r="F17" s="19" t="str">
        <x:v>Patients may panic from unclear pending-result language or assume no news means normal. Guardrail: Plain-language plan: “what is pending,” “when you will hear,” “who owns it,” and “what to do if no contact.”</x:v>
      </x:c>
      <x:c r="G17" s="19" t="str">
        <x:v>Implementation evaluation, local workflow observation, alert fatigue/false-positive tracking, and region-specific validation.</x:v>
      </x:c>
    </x:row>
    <x:row r="18">
      <x:c r="A18" s="19" t="str">
        <x:v>LI-017</x:v>
      </x:c>
      <x:c r="B18" s="19" t="str">
        <x:v>Cross-specialty pattern map</x:v>
      </x:c>
      <x:c r="C18" s="19" t="str">
        <x:v>supported by some evidence</x:v>
      </x:c>
      <x:c r="D18" s="19" t="str">
        <x:v>research_evidence_package_missed_signals_diagnostic_errors_2026-05-30.tar.gz::product_opportunities.csv::Cross-specialty referral map; B-002/B-003/B-024/B-029/B-032; research_evidence_package_patient_complaints_identification_failures_2026-05-30.tar.gz::patterns.md::wrong specialty or unclear referral pathway; research_evidence_package_clinician_side_diagnostic_pain_points_2026-05-30.tar.gz::evidence_items.csv::E013/E014; research_evidence_package_health_system_patient_flows_2026-05-30.tar.gz::flow_maps.csv::FM10/FM11</x:v>
      </x:c>
      <x:c r="E18" s="19" t="str">
        <x:v>Complex symptoms spanning specialties are split into GI/GYN/cardiology/neuro/psych silos, causing wrong-specialty drift or advice-only loops.</x:v>
      </x:c>
      <x:c r="F18" s="19" t="str">
        <x:v>Encourages inappropriate referral volume or suggests specialties unavailable locally. Guardrail: Local referral directory and criteria; “consider asking” prompts rather than automated referral; shared summary with clinical question.</x:v>
      </x:c>
      <x:c r="G18" s="19" t="str">
        <x:v>Implementation evaluation, local workflow observation, alert fatigue/false-positive tracking, and region-specific validation.</x:v>
      </x:c>
    </x:row>
    <x:row r="19">
      <x:c r="A19" s="19" t="str">
        <x:v>LI-018</x:v>
      </x:c>
      <x:c r="B19" s="19" t="str">
        <x:v>Patient-held record and out-of-system care import</x:v>
      </x:c>
      <x:c r="C19" s="19" t="str">
        <x:v>region-specific</x:v>
      </x:c>
      <x:c r="D19" s="19" t="str">
        <x:v>research_evidence_package_global_health_issue_identification_2026-05-30.tar.gz::evidence_items.csv::E008/E009; cases C004/C005; product_or_system_implications.md; research_evidence_package_health_system_patient_flows_2026-05-30.tar.gz::flow_notes_by_care_setting.csv::telehealth / home/community / rural settings; research_evidence_package_missed_signals_diagnostic_errors_2026-05-30.tar.gz::cases_or_examples.csv::B-031</x:v>
      </x:c>
      <x:c r="E19" s="19" t="str">
        <x:v>Signals from private, informal, cross-border, pharmacy, traditional, or disconnected care never enter the formal record.</x:v>
      </x:c>
      <x:c r="F19" s="19" t="str">
        <x:v>Poor-quality records or privacy issues contaminate clinical data. Guardrail: Provenance labels; clinician verification; patient consent; data-quality confidence; do not overwrite official results.</x:v>
      </x:c>
      <x:c r="G19" s="19" t="str">
        <x:v>Implementation evaluation, local workflow observation, alert fatigue/false-positive tracking, and region-specific validation.</x:v>
      </x:c>
    </x:row>
    <x:row r="20">
      <x:c r="A20" s="19" t="str">
        <x:v>LI-019</x:v>
      </x:c>
      <x:c r="B20" s="19" t="str">
        <x:v>Language, interpreter and cultural-safety layer</x:v>
      </x:c>
      <x:c r="C20" s="19" t="str">
        <x:v>region-specific</x:v>
      </x:c>
      <x:c r="D20" s="19" t="str">
        <x:v>research_evidence_package_global_health_issue_identification_2026-05-30.tar.gz::sources S023/S024/S026/S027/S028; cases C008/C009/C010; research_evidence_package_clinician_side_diagnostic_pain_points_2026-05-30.tar.gz::evidence_items.csv::E003; research_evidence_package_health_system_patient_flows_2026-05-30.tar.gz::flow_notes_by_care_setting.csv::telehealth / public health screening / community visit</x:v>
      </x:c>
      <x:c r="E20" s="19" t="str">
        <x:v>Language barriers, mistrust, cultural safety failures, racism, and did-not-wait patterns shape whether symptoms are voiced, believed and followed up.</x:v>
      </x:c>
      <x:c r="F20" s="19" t="str">
        <x:v>Tokenistic prompts without staff, interpreters, or liaison capacity. Guardrail: Connect to actual interpreter/liaison workflows; track completion not just need; avoid ethnicity-based risk scoring.</x:v>
      </x:c>
      <x:c r="G20" s="19" t="str">
        <x:v>Implementation evaluation, local workflow observation, alert fatigue/false-positive tracking, and region-specific validation.</x:v>
      </x:c>
    </x:row>
    <x:row r="21">
      <x:c r="A21" s="19" t="str">
        <x:v>LI-020</x:v>
      </x:c>
      <x:c r="B21" s="19" t="str">
        <x:v>Low-resource diagnostic availability and stockout-aware plan</x:v>
      </x:c>
      <x:c r="C21" s="19" t="str">
        <x:v>region-specific</x:v>
      </x:c>
      <x:c r="D21" s="19" t="str">
        <x:v>research_evidence_package_missed_signals_diagnostic_errors_2026-05-30.tar.gz::cases_or_examples.csv::B-025/B-026/B-027; product_opportunities.csv::Low-resource diagnostic availability layer; research_evidence_package_global_health_issue_identification_2026-05-30.tar.gz::cases C005/C006/C007; evidence_items E010; product implications; research_evidence_package_clinician_side_diagnostic_pain_points_2026-05-30.tar.gz::evidence_items.csv::E019/E020; research_evidence_package_health_system_patient_flows_2026-05-30.tar.gz::flow_maps.csv::FM12 and rural/low-resource clinic notes</x:v>
      </x:c>
      <x:c r="E21" s="19" t="str">
        <x:v>A diagnostic tool may not exist, be affordable, be in stock, or be reachable; missing diagnostics can look like clinician delay unless explicitly captured.</x:v>
      </x:c>
      <x:c r="F21" s="19" t="str">
        <x:v>Blames clinics/CHWs for infrastructure gaps or creates impossible tasks. Guardrail: Resource-aware workflows; offline/paper/SMS modes; aggregate stockout reporting; escalation alternatives; no punitive clinician metrics for stockouts.</x:v>
      </x:c>
      <x:c r="G21" s="19" t="str">
        <x:v>Implementation evaluation, local workflow observation, alert fatigue/false-positive tracking, and region-specific validation.</x:v>
      </x:c>
    </x:row>
    <x:row r="22">
      <x:c r="A22" s="19" t="str">
        <x:v>LI-021</x:v>
      </x:c>
      <x:c r="B22" s="19" t="str">
        <x:v>CHW and informal-provider referral capture mode</x:v>
      </x:c>
      <x:c r="C22" s="19" t="str">
        <x:v>region-specific</x:v>
      </x:c>
      <x:c r="D22" s="19" t="str">
        <x:v>research_evidence_package_global_health_issue_identification_2026-05-30.tar.gz::cases C005/C007; evidence_items E010; sources S012/S021; research_evidence_package_health_system_patient_flows_2026-05-30.tar.gz::flow_maps.csv::FM12; sources S38/S40/S41/S43; research_evidence_package_clinician_side_diagnostic_pain_points_2026-05-30.tar.gz::evidence_items.csv::E019</x:v>
      </x:c>
      <x:c r="E22" s="19" t="str">
        <x:v>Community health workers and informal/non-allopathic providers are often first assessment nodes but may not be connected to formal testing and referral loops.</x:v>
      </x:c>
      <x:c r="F22" s="19" t="str">
        <x:v>Assigns responsibility without training, supplies, supervision or referral backup. Guardrail: Protocol-bound scope, supervision, offline mode, referral confirmation, local-language prompts, supply/status integration.</x:v>
      </x:c>
      <x:c r="G22" s="19" t="str">
        <x:v>Implementation evaluation, local workflow observation, alert fatigue/false-positive tracking, and region-specific validation.</x:v>
      </x:c>
    </x:row>
    <x:row r="23">
      <x:c r="A23" s="19" t="str">
        <x:v>LI-022</x:v>
      </x:c>
      <x:c r="B23" s="19" t="str">
        <x:v>Medication and access-as-diagnostic-clue capture</x:v>
      </x:c>
      <x:c r="C23" s="19" t="str">
        <x:v>supported by some evidence</x:v>
      </x:c>
      <x:c r="D23" s="19" t="str">
        <x:v>research_evidence_package_missed_signals_diagnostic_errors_2026-05-30.tar.gz::product_opportunities.csv::Medication/access-as-diagnostic-clue; B-013/B-031; research_evidence_package_global_health_issue_identification_2026-05-30.tar.gz::patterns.md::cost/transport/access barriers; research_evidence_package_clinician_side_diagnostic_pain_points_2026-05-30.tar.gz::evidence_items.csv::E003</x:v>
      </x:c>
      <x:c r="E23" s="19" t="str">
        <x:v>Medication interruption, device/supply problems, insurance gaps, and affordability can be a direct clue to deterioration or differential diagnosis.</x:v>
      </x:c>
      <x:c r="F23" s="19" t="str">
        <x:v>Patients may feel blamed or exposed; affordability data is sensitive. Guardrail: Ask nonjudgmentally; mark patient-controlled sensitive data; link to assistance/referral resources; do not equate cost barriers with noncompliance.</x:v>
      </x:c>
      <x:c r="G23" s="19" t="str">
        <x:v>Implementation evaluation, local workflow observation, alert fatigue/false-positive tracking, and region-specific validation.</x:v>
      </x:c>
    </x:row>
    <x:row r="24">
      <x:c r="A24" s="19" t="str">
        <x:v>LI-023</x:v>
      </x:c>
      <x:c r="B24" s="19" t="str">
        <x:v>Note-diff and copied-forward detection</x:v>
      </x:c>
      <x:c r="C24" s="19" t="str">
        <x:v>supported by some evidence</x:v>
      </x:c>
      <x:c r="D24" s="19" t="str">
        <x:v>research_evidence_package_clinician_side_diagnostic_pain_points_2026-05-30.tar.gz::evidence_items.csv::E016; product implications; research_evidence_package_missed_signals_diagnostic_errors_2026-05-30.tar.gz::patterns.md::no one connected the dots; normal-test trap; research_evidence_package_health_system_patient_flows_2026-05-30.tar.gz::patterns.md::patient narratives reveal continuity failures</x:v>
      </x:c>
      <x:c r="E24" s="19" t="str">
        <x:v>Long redundant notes obscure new facts, changed assessments, unresolved problems, and copied-forward assumptions.</x:v>
      </x:c>
      <x:c r="F24" s="19" t="str">
        <x:v>Diffs become another noisy interface or expose legitimate repeated history as error. Guardrail: Prioritize clinically meaningful changes; allow clinician dismissal; tie output to unresolved episode summary.</x:v>
      </x:c>
      <x:c r="G24" s="19" t="str">
        <x:v>Implementation evaluation, local workflow observation, alert fatigue/false-positive tracking, and region-specific validation.</x:v>
      </x:c>
    </x:row>
    <x:row r="25">
      <x:c r="A25" s="19" t="str">
        <x:v>LI-024</x:v>
      </x:c>
      <x:c r="B25" s="19" t="str">
        <x:v>Workload-aware alert management and risk-ranked worklists</x:v>
      </x:c>
      <x:c r="C25" s="19" t="str">
        <x:v>unsafe or needs caution</x:v>
      </x:c>
      <x:c r="D25" s="19" t="str">
        <x:v>research_evidence_package_clinician_side_diagnostic_pain_points_2026-05-30.tar.gz::evidence_items.csv::E001/E011/E015/E021; quotes Q003/Q008/Q010/Q011; research_evidence_package_health_system_patient_flows_2026-05-30.tar.gz::main_report.md::front-door workflows sort urgency before diagnosis; research_evidence_package_missed_signals_diagnostic_errors_2026-05-30.tar.gz::risks_and_safety_notes.md::over-alert risk</x:v>
      </x:c>
      <x:c r="E25" s="19" t="str">
        <x:v>More alerts can worsen the exact overload that causes missed abnormal results and poor follow-up.</x:v>
      </x:c>
      <x:c r="F25" s="19" t="str">
        <x:v>Creates a new inbox, hides low-frequency serious issues, or routes responsibility unfairly. Guardrail: Actionable, tiered alerts; suppress duplicates; ownership + escalation; measure false positives/negatives; do not use fatigue data punitively.</x:v>
      </x:c>
      <x:c r="G25" s="19" t="str">
        <x:v>Implementation evaluation, local workflow observation, alert fatigue/false-positive tracking, and region-specific validation.</x:v>
      </x:c>
    </x:row>
    <x:row r="26">
      <x:c r="A26" s="19" t="str">
        <x:v>LI-025</x:v>
      </x:c>
      <x:c r="B26" s="19" t="str">
        <x:v>Patient/family deterioration escalation route</x:v>
      </x:c>
      <x:c r="C26" s="19" t="str">
        <x:v>strongly supported</x:v>
      </x:c>
      <x:c r="D26" s="19" t="str">
        <x:v>research_evidence_package_patient_complaints_identification_failures_2026-05-30.tar.gz::cases_or_examples.csv::C004/C008; source S036 Martha’s Rule; quotes Q004/Q008; research_evidence_package_global_health_issue_identification_2026-05-30.tar.gz::cases_or_examples.csv::C003/C008/C009; research_evidence_package_health_system_patient_flows_2026-05-30.tar.gz::reviews_or_complaints.csv::R003; quotes Q004</x:v>
      </x:c>
      <x:c r="E26" s="19" t="str">
        <x:v>Family or patient concern about deterioration may be ignored or lack a route beyond repeating the same complaint.</x:v>
      </x:c>
      <x:c r="F26" s="19" t="str">
        <x:v>Floods escalation pathways or bypasses normal care without capacity. Guardrail: Clear criteria, named response team, acknowledgment timestamp, triage of escalation requests, respectful language.</x:v>
      </x:c>
      <x:c r="G26" s="19" t="str">
        <x:v>Implementation evaluation, local workflow observation, alert fatigue/false-positive tracking, and region-specific validation.</x:v>
      </x:c>
    </x:row>
    <x:row r="27">
      <x:c r="A27" s="19" t="str">
        <x:v>LI-026</x:v>
      </x:c>
      <x:c r="B27" s="19" t="str">
        <x:v>Diagnosis-status clarity in patient portal</x:v>
      </x:c>
      <x:c r="C27" s="19" t="str">
        <x:v>supported by some evidence</x:v>
      </x:c>
      <x:c r="D27" s="19" t="str">
        <x:v>research_evidence_package_patient_complaints_identification_failures_2026-05-30.tar.gz::quotes.csv::Q007/Q011/Q012; product implications; research_evidence_package_missed_signals_diagnostic_errors_2026-05-30.tar.gz::product_opportunities.csv::Pending-test discharge contract; research_evidence_package_health_system_patient_flows_2026-05-30.tar.gz::practical_implications.md::record what remains unexplained</x:v>
      </x:c>
      <x:c r="E27" s="19" t="str">
        <x:v>Patients may see labels, referral decisions or results without knowing whether a diagnosis is confirmed, suspected, excluded, pending, or unexplained.</x:v>
      </x:c>
      <x:c r="F27" s="19" t="str">
        <x:v>Over-simplified statuses create false certainty or alarm. Guardrail: Use clinician-authored uncertainty templates; explain status categories; show who to contact and when.</x:v>
      </x:c>
      <x:c r="G27" s="19" t="str">
        <x:v>Implementation evaluation, local workflow observation, alert fatigue/false-positive tracking, and region-specific validation.</x:v>
      </x:c>
    </x:row>
    <x:row r="28">
      <x:c r="A28" s="19" t="str">
        <x:v>LI-900</x:v>
      </x:c>
      <x:c r="B28" s="19" t="str">
        <x:v>One universal workflow for all countries/settings</x:v>
      </x:c>
      <x:c r="C28" s="19" t="str">
        <x:v>contradicted by evidence</x:v>
      </x:c>
      <x:c r="D28" s="19" t="str">
        <x:v>research_evidence_package_global_health_issue_identification_2026-05-30.tar.gz::main_report.md; research_evidence_package_global_health_issue_identification_2026-05-30.tar.gz::care_flow_comparison.md</x:v>
      </x:c>
      <x:c r="E28" s="19" t="str">
        <x:v>Care-flow models differ: gatekeeper, open-access, integrated, CHW-based, fragmented public/private and rural/remote.</x:v>
      </x:c>
      <x:c r="F28" s="19" t="str">
        <x:v>Product must be configurable by care-flow model and resource constraints.</x:v>
      </x:c>
      <x:c r="G28" s="19" t="str">
        <x:v>Country-specific implementation requirements.</x:v>
      </x:c>
    </x:row>
    <x:row r="29">
      <x:c r="A29" s="19" t="str">
        <x:v>LI-901</x:v>
      </x:c>
      <x:c r="B29" s="19" t="str">
        <x:v>Pure single-symptom digital triage as diagnostic front door</x:v>
      </x:c>
      <x:c r="C29" s="19" t="str">
        <x:v>contradicted by evidence</x:v>
      </x:c>
      <x:c r="D29" s="19" t="str">
        <x:v>research_evidence_package_clinician_side_diagnostic_pain_points_2026-05-30.tar.gz::E007/Q005; research_evidence_package_health_system_patient_flows_2026-05-30.tar.gz::FM05/FM06</x:v>
      </x:c>
      <x:c r="E29" s="19" t="str">
        <x:v>Single-symptom routes can lose complexity and prior high-risk history.</x:v>
      </x:c>
      <x:c r="F29" s="19" t="str">
        <x:v>Use hybrid intake and human-review escape hatch.</x:v>
      </x:c>
      <x:c r="G29" s="19" t="str">
        <x:v>Usability testing with complex multi-symptom patients.</x:v>
      </x:c>
    </x:row>
    <x:row r="30">
      <x:c r="A30" s="19" t="str">
        <x:v>LI-902</x:v>
      </x:c>
      <x:c r="B30" s="19" t="str">
        <x:v>More alerts for every possible missed diagnosis</x:v>
      </x:c>
      <x:c r="C30" s="19" t="str">
        <x:v>unsafe or needs caution</x:v>
      </x:c>
      <x:c r="D30" s="19" t="str">
        <x:v>research_evidence_package_clinician_side_diagnostic_pain_points_2026-05-30.tar.gz::E001/Q003; research_evidence_package_missed_signals_diagnostic_errors_2026-05-30.tar.gz::risks_and_safety_notes.md</x:v>
      </x:c>
      <x:c r="E30" s="19" t="str">
        <x:v>Alert overload is itself a safety risk.</x:v>
      </x:c>
      <x:c r="F30" s="19" t="str">
        <x:v>Risk-ranked, actionable, owned worklists are safer than more pop-ups.</x:v>
      </x:c>
      <x:c r="G30" s="19" t="str">
        <x:v>Threshold and workload studies.</x:v>
      </x:c>
    </x:row>
    <x:row r="31">
      <x:c r="A31" s="19" t="str">
        <x:v>LI-903</x:v>
      </x:c>
      <x:c r="B31" s="19" t="str">
        <x:v>Predictive lab-trend alerts based on personal baseline</x:v>
      </x:c>
      <x:c r="C31" s="19" t="str">
        <x:v>early idea</x:v>
      </x:c>
      <x:c r="D31" s="19" t="str">
        <x:v>research_evidence_package_missed_signals_diagnostic_errors_2026-05-30.tar.gz::B-001/B-014/B-015; research_evidence_package_health_system_patient_flows_2026-05-30.tar.gz::S54</x:v>
      </x:c>
      <x:c r="E31" s="19" t="str">
        <x:v>Slow drift can hide serious disease, but evidence here supports visualization more strongly than automated prediction.</x:v>
      </x:c>
      <x:c r="F31" s="19" t="str">
        <x:v>Needs prospective validation and false-positive monitoring before alerting.</x:v>
      </x:c>
      <x:c r="G31" s="19" t="str">
        <x:v>Condition-specific trend studies and clinician workflow trials.</x:v>
      </x:c>
    </x:row>
  </x:sheetData>
  <x:dataValidations count="1">
    <x:dataValidation type="list" sqref="C2:C31">
      <x:formula1>"early idea,supported by some evidence,strongly supported,contradicted by evidence,region-specific,unsafe or needs caution"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49cfe8e0ce4af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36" hidden="0" customWidth="1"/>
    <x:col min="5" max="5" width="18" hidden="0" customWidth="1"/>
    <x:col min="6" max="6" width="48" hidden="0" customWidth="1"/>
    <x:col min="7" max="7" width="55" hidden="0" customWidth="1"/>
    <x:col min="8" max="8" width="36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18" hidden="0" customWidth="1"/>
    <x:col min="14" max="14" width="36" hidden="0" customWidth="1"/>
    <x:col min="15" max="15" width="60" hidden="0" customWidth="1"/>
    <x:col min="16" max="16" width="44" hidden="0" customWidth="1"/>
    <x:col min="17" max="17" width="36" hidden="0" customWidth="1"/>
    <x:col min="18" max="18" width="18" hidden="0" customWidth="1"/>
  </x:cols>
  <x:sheetData>
    <x:row r="1" ht="45" customHeight="1">
      <x:c r="A1" s="18" t="str">
        <x:v>package_filename</x:v>
      </x:c>
      <x:c r="B1" s="18" t="str">
        <x:v>package_topic</x:v>
      </x:c>
      <x:c r="C1" s="18" t="str">
        <x:v>source_ref</x:v>
      </x:c>
      <x:c r="D1" s="18" t="str">
        <x:v>source_id</x:v>
      </x:c>
      <x:c r="E1" s="18" t="str">
        <x:v>research_topic</x:v>
      </x:c>
      <x:c r="F1" s="18" t="str">
        <x:v>source_title</x:v>
      </x:c>
      <x:c r="G1" s="18" t="str">
        <x:v>source_url_or_identifier</x:v>
      </x:c>
      <x:c r="H1" s="18" t="str">
        <x:v>source_type</x:v>
      </x:c>
      <x:c r="I1" s="18" t="str">
        <x:v>author_or_org</x:v>
      </x:c>
      <x:c r="J1" s="18" t="str">
        <x:v>publication_date</x:v>
      </x:c>
      <x:c r="K1" s="18" t="str">
        <x:v>access_date</x:v>
      </x:c>
      <x:c r="L1" s="18" t="str">
        <x:v>country_or_region</x:v>
      </x:c>
      <x:c r="M1" s="18" t="str">
        <x:v>setting_or_context</x:v>
      </x:c>
      <x:c r="N1" s="18" t="str">
        <x:v>evidence_quality</x:v>
      </x:c>
      <x:c r="O1" s="18" t="str">
        <x:v>short_summary</x:v>
      </x:c>
      <x:c r="P1" s="18" t="str">
        <x:v>raw_file_path</x:v>
      </x:c>
      <x:c r="Q1" s="18" t="str">
        <x:v>notes</x:v>
      </x:c>
      <x:c r="R1" s="18" t="str">
        <x:v>date_packaged</x:v>
      </x:c>
    </x:row>
    <x:row r="2">
      <x:c r="A2" s="19" t="str">
        <x:v>research_evidence_package_clinician_side_diagnostic_pain_points_2026-05-30.tar.gz</x:v>
      </x:c>
      <x:c r="B2" s="19" t="str">
        <x:v>Research D / clinician-side diagnostic pain points</x:v>
      </x:c>
      <x:c r="C2" s="19" t="str">
        <x:v>research_evidence_package_clinician_side_diagnostic_pain_points_2026-05-30.tar.gz::S001</x:v>
      </x:c>
      <x:c r="D2" s="19" t="str">
        <x:v>S001</x:v>
      </x:c>
      <x:c r="E2" s="19" t="str">
        <x:v>Research D — clinician-side pain points in identifying health issues early</x:v>
      </x:c>
      <x:c r="F2" s="19" t="str">
        <x:v>AHRQ Diagnostic Safety and Quality</x:v>
      </x:c>
      <x:c r="G2" s="19" t="str">
        <x:v>https://www.ahrq.gov/diagnostic-safety/index.html</x:v>
      </x:c>
      <x:c r="H2" s="19" t="str">
        <x:v>federal agency program page</x:v>
      </x:c>
      <x:c r="I2" s="19" t="str">
        <x:v>AHRQ</x:v>
      </x:c>
      <x:c r="J2" s="19" t="str">
        <x:v>current page accessed 2026-05-30</x:v>
      </x:c>
      <x:c r="K2" s="19" t="str">
        <x:v>2026-05-30</x:v>
      </x:c>
      <x:c r="L2" s="19" t="str">
        <x:v>United States</x:v>
      </x:c>
      <x:c r="M2" s="19" t="str">
        <x:v>all settings</x:v>
      </x:c>
      <x:c r="N2" s="19" t="str">
        <x:v>high</x:v>
      </x:c>
      <x:c r="O2" s="19" t="str">
        <x:v>Burden and diagnostic-safety framing; includes diagnostic errors across settings and annual US harm estimate.</x:v>
      </x:c>
      <x:c r="P2" s="19" t="str">
        <x:v>01_sources/raw_sources/reports/s001_source_summary.md</x:v>
      </x:c>
      <x:c r="Q2" s="19" t="str">
        <x:v>Raw source file was not downloaded; source summary file created from completed research notes.</x:v>
      </x:c>
      <x:c r="R2" s="19" t="str">
        <x:v>2026-05-30</x:v>
      </x:c>
    </x:row>
    <x:row r="3">
      <x:c r="A3" s="19" t="str">
        <x:v>research_evidence_package_clinician_side_diagnostic_pain_points_2026-05-30.tar.gz</x:v>
      </x:c>
      <x:c r="B3" s="19" t="str">
        <x:v>Research D / clinician-side diagnostic pain points</x:v>
      </x:c>
      <x:c r="C3" s="19" t="str">
        <x:v>research_evidence_package_clinician_side_diagnostic_pain_points_2026-05-30.tar.gz::S002</x:v>
      </x:c>
      <x:c r="D3" s="19" t="str">
        <x:v>S002</x:v>
      </x:c>
      <x:c r="E3" s="19" t="str">
        <x:v>Research D — clinician-side pain points in identifying health issues early</x:v>
      </x:c>
      <x:c r="F3" s="19" t="str">
        <x:v>Improving Diagnosis in Health Care</x:v>
      </x:c>
      <x:c r="G3" s="19" t="str">
        <x:v>https://www.nationalacademies.org/read/21794/chapter/1</x:v>
      </x:c>
      <x:c r="H3" s="19" t="str">
        <x:v>consensus report</x:v>
      </x:c>
      <x:c r="I3" s="19" t="str">
        <x:v>National Academies of Sciences, Engineering, and Medicine</x:v>
      </x:c>
      <x:c r="J3" s="19" t="str">
        <x:v>2015</x:v>
      </x:c>
      <x:c r="K3" s="19" t="str">
        <x:v>2026-05-30</x:v>
      </x:c>
      <x:c r="L3" s="19" t="str">
        <x:v>United States</x:v>
      </x:c>
      <x:c r="M3" s="19" t="str">
        <x:v>all settings</x:v>
      </x:c>
      <x:c r="N3" s="19" t="str">
        <x:v>high</x:v>
      </x:c>
      <x:c r="O3" s="19" t="str">
        <x:v>Diagnosis framed as collaborative and patient-centered; health IT can help or hinder.</x:v>
      </x:c>
      <x:c r="P3" s="19" t="str">
        <x:v>01_sources/raw_sources/reports/s002_source_summary.md</x:v>
      </x:c>
      <x:c r="Q3" s="19" t="str">
        <x:v>Raw source file was not downloaded; source summary file created from completed research notes.</x:v>
      </x:c>
      <x:c r="R3" s="19" t="str">
        <x:v>2026-05-30</x:v>
      </x:c>
    </x:row>
    <x:row r="4">
      <x:c r="A4" s="19" t="str">
        <x:v>research_evidence_package_clinician_side_diagnostic_pain_points_2026-05-30.tar.gz</x:v>
      </x:c>
      <x:c r="B4" s="19" t="str">
        <x:v>Research D / clinician-side diagnostic pain points</x:v>
      </x:c>
      <x:c r="C4" s="19" t="str">
        <x:v>research_evidence_package_clinician_side_diagnostic_pain_points_2026-05-30.tar.gz::S003</x:v>
      </x:c>
      <x:c r="D4" s="19" t="str">
        <x:v>S003</x:v>
      </x:c>
      <x:c r="E4" s="19" t="str">
        <x:v>Research D — clinician-side pain points in identifying health issues early</x:v>
      </x:c>
      <x:c r="F4" s="19" t="str">
        <x:v>Core Elements of Hospital Diagnostic Excellence</x:v>
      </x:c>
      <x:c r="G4" s="19" t="str">
        <x:v>https://www.cdc.gov/patient-safety/hcp/hospital-dx-excellence/index.html</x:v>
      </x:c>
      <x:c r="H4" s="19" t="str">
        <x:v>federal framework</x:v>
      </x:c>
      <x:c r="I4" s="19" t="str">
        <x:v>CDC</x:v>
      </x:c>
      <x:c r="J4" s="19" t="str">
        <x:v>2026</x:v>
      </x:c>
      <x:c r="K4" s="19" t="str">
        <x:v>2026-05-30</x:v>
      </x:c>
      <x:c r="L4" s="19" t="str">
        <x:v>United States</x:v>
      </x:c>
      <x:c r="M4" s="19" t="str">
        <x:v>hospital / acute care</x:v>
      </x:c>
      <x:c r="N4" s="19" t="str">
        <x:v>high</x:v>
      </x:c>
      <x:c r="O4" s="19" t="str">
        <x:v>Framework for diagnostic-excellence programs, testing, communication, teamwork, monitoring.</x:v>
      </x:c>
      <x:c r="P4" s="19" t="str">
        <x:v>01_sources/raw_sources/guidelines/s003_source_summary.md</x:v>
      </x:c>
      <x:c r="Q4" s="19" t="str">
        <x:v>Raw source file was not downloaded; source summary file created from completed research notes.</x:v>
      </x:c>
      <x:c r="R4" s="19" t="str">
        <x:v>2026-05-30</x:v>
      </x:c>
    </x:row>
    <x:row r="5">
      <x:c r="A5" s="19" t="str">
        <x:v>research_evidence_package_clinician_side_diagnostic_pain_points_2026-05-30.tar.gz</x:v>
      </x:c>
      <x:c r="B5" s="19" t="str">
        <x:v>Research D / clinician-side diagnostic pain points</x:v>
      </x:c>
      <x:c r="C5" s="19" t="str">
        <x:v>research_evidence_package_clinician_side_diagnostic_pain_points_2026-05-30.tar.gz::S004</x:v>
      </x:c>
      <x:c r="D5" s="19" t="str">
        <x:v>S004</x:v>
      </x:c>
      <x:c r="E5" s="19" t="str">
        <x:v>Research D — clinician-side pain points in identifying health issues early</x:v>
      </x:c>
      <x:c r="F5" s="19" t="str">
        <x:v>Diagnostic Errors: Technical Series on Safer Primary Care</x:v>
      </x:c>
      <x:c r="G5" s="19" t="str">
        <x:v>https://www.who.int/publications/i/item/9789241511636</x:v>
      </x:c>
      <x:c r="H5" s="19" t="str">
        <x:v>technical document</x:v>
      </x:c>
      <x:c r="I5" s="19" t="str">
        <x:v>WHO</x:v>
      </x:c>
      <x:c r="J5" s="19" t="str">
        <x:v>2016</x:v>
      </x:c>
      <x:c r="K5" s="19" t="str">
        <x:v>2026-05-30</x:v>
      </x:c>
      <x:c r="L5" s="19" t="str">
        <x:v>Global</x:v>
      </x:c>
      <x:c r="M5" s="19" t="str">
        <x:v>primary care</x:v>
      </x:c>
      <x:c r="N5" s="19" t="str">
        <x:v>high</x:v>
      </x:c>
      <x:c r="O5" s="19" t="str">
        <x:v>Global framing of diagnostic error in primary care as a patient-safety problem.</x:v>
      </x:c>
      <x:c r="P5" s="19" t="str">
        <x:v>01_sources/raw_sources/guidelines/s004_source_summary.md</x:v>
      </x:c>
      <x:c r="Q5" s="19" t="str">
        <x:v>Raw source file was not downloaded; source summary file created from completed research notes.</x:v>
      </x:c>
      <x:c r="R5" s="19" t="str">
        <x:v>2026-05-30</x:v>
      </x:c>
    </x:row>
    <x:row r="6">
      <x:c r="A6" s="19" t="str">
        <x:v>research_evidence_package_clinician_side_diagnostic_pain_points_2026-05-30.tar.gz</x:v>
      </x:c>
      <x:c r="B6" s="19" t="str">
        <x:v>Research D / clinician-side diagnostic pain points</x:v>
      </x:c>
      <x:c r="C6" s="19" t="str">
        <x:v>research_evidence_package_clinician_side_diagnostic_pain_points_2026-05-30.tar.gz::S005</x:v>
      </x:c>
      <x:c r="D6" s="19" t="str">
        <x:v>S005</x:v>
      </x:c>
      <x:c r="E6" s="19" t="str">
        <x:v>Research D — clinician-side pain points in identifying health issues early</x:v>
      </x:c>
      <x:c r="F6" s="19" t="str">
        <x:v>Information Overload and Missed Test Results in Electronic Health Record-Based Settings</x:v>
      </x:c>
      <x:c r="G6" s="19" t="str">
        <x:v>https://jamanetwork.com/journals/jamainternalmedicine/fullarticle/1657753</x:v>
      </x:c>
      <x:c r="H6" s="19" t="str">
        <x:v>peer-reviewed survey</x:v>
      </x:c>
      <x:c r="I6" s="19" t="str">
        <x:v>Singh et al.</x:v>
      </x:c>
      <x:c r="J6" s="19" t="str">
        <x:v>2013</x:v>
      </x:c>
      <x:c r="K6" s="19" t="str">
        <x:v>2026-05-30</x:v>
      </x:c>
      <x:c r="L6" s="19" t="str">
        <x:v>United States</x:v>
      </x:c>
      <x:c r="M6" s="19" t="str">
        <x:v>VA primary care</x:v>
      </x:c>
      <x:c r="N6" s="19" t="str">
        <x:v>high</x:v>
      </x:c>
      <x:c r="O6" s="19" t="str">
        <x:v>Alert overload and missed abnormal laboratory/imaging results among primary care practitioners.</x:v>
      </x:c>
      <x:c r="P6" s="19" t="str">
        <x:v>01_sources/raw_sources/articles/s005_source_summary.md</x:v>
      </x:c>
      <x:c r="Q6" s="19" t="str">
        <x:v>Raw source file was not downloaded; source summary file created from completed research notes.</x:v>
      </x:c>
      <x:c r="R6" s="19" t="str">
        <x:v>2026-05-30</x:v>
      </x:c>
    </x:row>
    <x:row r="7">
      <x:c r="A7" s="19" t="str">
        <x:v>research_evidence_package_clinician_side_diagnostic_pain_points_2026-05-30.tar.gz</x:v>
      </x:c>
      <x:c r="B7" s="19" t="str">
        <x:v>Research D / clinician-side diagnostic pain points</x:v>
      </x:c>
      <x:c r="C7" s="19" t="str">
        <x:v>research_evidence_package_clinician_side_diagnostic_pain_points_2026-05-30.tar.gz::S006</x:v>
      </x:c>
      <x:c r="D7" s="19" t="str">
        <x:v>S006</x:v>
      </x:c>
      <x:c r="E7" s="19" t="str">
        <x:v>Research D — clinician-side pain points in identifying health issues early</x:v>
      </x:c>
      <x:c r="F7" s="19" t="str">
        <x:v>Types and Origins of Diagnostic Errors in Primary Care Settings</x:v>
      </x:c>
      <x:c r="G7" s="19" t="str">
        <x:v>https://jamanetwork.com/journals/jamainternalmedicine/fullarticle/1656540</x:v>
      </x:c>
      <x:c r="H7" s="19" t="str">
        <x:v>peer-reviewed study</x:v>
      </x:c>
      <x:c r="I7" s="19" t="str">
        <x:v>Singh et al.</x:v>
      </x:c>
      <x:c r="J7" s="19" t="str">
        <x:v>2013</x:v>
      </x:c>
      <x:c r="K7" s="19" t="str">
        <x:v>2026-05-30</x:v>
      </x:c>
      <x:c r="L7" s="19" t="str">
        <x:v>United States</x:v>
      </x:c>
      <x:c r="M7" s="19" t="str">
        <x:v>primary care</x:v>
      </x:c>
      <x:c r="N7" s="19" t="str">
        <x:v>high</x:v>
      </x:c>
      <x:c r="O7" s="19" t="str">
        <x:v>Reviewed diagnostic-error cases and breakdowns in history, exam, tests, referrals, tracking.</x:v>
      </x:c>
      <x:c r="P7" s="19" t="str">
        <x:v>01_sources/raw_sources/articles/s006_source_summary.md</x:v>
      </x:c>
      <x:c r="Q7" s="19" t="str">
        <x:v>Raw source file was not downloaded; source summary file created from completed research notes.</x:v>
      </x:c>
      <x:c r="R7" s="19" t="str">
        <x:v>2026-05-30</x:v>
      </x:c>
    </x:row>
    <x:row r="8">
      <x:c r="A8" s="19" t="str">
        <x:v>research_evidence_package_clinician_side_diagnostic_pain_points_2026-05-30.tar.gz</x:v>
      </x:c>
      <x:c r="B8" s="19" t="str">
        <x:v>Research D / clinician-side diagnostic pain points</x:v>
      </x:c>
      <x:c r="C8" s="19" t="str">
        <x:v>research_evidence_package_clinician_side_diagnostic_pain_points_2026-05-30.tar.gz::S007</x:v>
      </x:c>
      <x:c r="D8" s="19" t="str">
        <x:v>S007</x:v>
      </x:c>
      <x:c r="E8" s="19" t="str">
        <x:v>Research D — clinician-side pain points in identifying health issues early</x:v>
      </x:c>
      <x:c r="F8" s="19" t="str">
        <x:v>Time Pressure During Primary Care Office Visits</x:v>
      </x:c>
      <x:c r="G8" s="19" t="str">
        <x:v>https://link.springer.com/article/10.1007/s11606-019-05343-6</x:v>
      </x:c>
      <x:c r="H8" s="19" t="str">
        <x:v>peer-reviewed prospective analysis</x:v>
      </x:c>
      <x:c r="I8" s="19" t="str">
        <x:v>Prasad et al.</x:v>
      </x:c>
      <x:c r="J8" s="19" t="str">
        <x:v>2019</x:v>
      </x:c>
      <x:c r="K8" s="19" t="str">
        <x:v>2026-05-30</x:v>
      </x:c>
      <x:c r="L8" s="19" t="str">
        <x:v>United States</x:v>
      </x:c>
      <x:c r="M8" s="19" t="str">
        <x:v>primary care</x:v>
      </x:c>
      <x:c r="N8" s="19" t="str">
        <x:v>high</x:v>
      </x:c>
      <x:c r="O8" s="19" t="str">
        <x:v>Clinicians reported insufficient time, especially with complex patients and limited English proficiency.</x:v>
      </x:c>
      <x:c r="P8" s="19" t="str">
        <x:v>01_sources/raw_sources/articles/s007_source_summary.md</x:v>
      </x:c>
      <x:c r="Q8" s="19" t="str">
        <x:v>Raw source file was not downloaded; source summary file created from completed research notes.</x:v>
      </x:c>
      <x:c r="R8" s="19" t="str">
        <x:v>2026-05-30</x:v>
      </x:c>
    </x:row>
    <x:row r="9">
      <x:c r="A9" s="19" t="str">
        <x:v>research_evidence_package_clinician_side_diagnostic_pain_points_2026-05-30.tar.gz</x:v>
      </x:c>
      <x:c r="B9" s="19" t="str">
        <x:v>Research D / clinician-side diagnostic pain points</x:v>
      </x:c>
      <x:c r="C9" s="19" t="str">
        <x:v>research_evidence_package_clinician_side_diagnostic_pain_points_2026-05-30.tar.gz::S008</x:v>
      </x:c>
      <x:c r="D9" s="19" t="str">
        <x:v>S008</x:v>
      </x:c>
      <x:c r="E9" s="19" t="str">
        <x:v>Research D — clinician-side pain points in identifying health issues early</x:v>
      </x:c>
      <x:c r="F9" s="19" t="str">
        <x:v>Diagnostic uncertainty in real-world primary care consultations</x:v>
      </x:c>
      <x:c r="G9" s="19" t="str">
        <x:v>https://link.springer.com/article/10.1186/s12875-024-02526-x</x:v>
      </x:c>
      <x:c r="H9" s="19" t="str">
        <x:v>peer-reviewed qualitative study</x:v>
      </x:c>
      <x:c r="I9" s="19" t="str">
        <x:v>Russell et al.</x:v>
      </x:c>
      <x:c r="J9" s="19" t="str">
        <x:v>2024</x:v>
      </x:c>
      <x:c r="K9" s="19" t="str">
        <x:v>2026-05-30</x:v>
      </x:c>
      <x:c r="L9" s="19" t="str">
        <x:v>United Kingdom</x:v>
      </x:c>
      <x:c r="M9" s="19" t="str">
        <x:v>general practice</x:v>
      </x:c>
      <x:c r="N9" s="19" t="str">
        <x:v>medium-high</x:v>
      </x:c>
      <x:c r="O9" s="19" t="str">
        <x:v>Safety-netting and uncertainty-management plans varied in specificity and responsibility.</x:v>
      </x:c>
      <x:c r="P9" s="19" t="str">
        <x:v>01_sources/raw_sources/articles/s008_source_summary.md</x:v>
      </x:c>
      <x:c r="Q9" s="19" t="str">
        <x:v>Raw source file was not downloaded; source summary file created from completed research notes.</x:v>
      </x:c>
      <x:c r="R9" s="19" t="str">
        <x:v>2026-05-30</x:v>
      </x:c>
    </x:row>
    <x:row r="10">
      <x:c r="A10" s="19" t="str">
        <x:v>research_evidence_package_clinician_side_diagnostic_pain_points_2026-05-30.tar.gz</x:v>
      </x:c>
      <x:c r="B10" s="19" t="str">
        <x:v>Research D / clinician-side diagnostic pain points</x:v>
      </x:c>
      <x:c r="C10" s="19" t="str">
        <x:v>research_evidence_package_clinician_side_diagnostic_pain_points_2026-05-30.tar.gz::S009</x:v>
      </x:c>
      <x:c r="D10" s="19" t="str">
        <x:v>S009</x:v>
      </x:c>
      <x:c r="E10" s="19" t="str">
        <x:v>Research D — clinician-side pain points in identifying health issues early</x:v>
      </x:c>
      <x:c r="F10" s="19" t="str">
        <x:v>Continuity of care: delayed diagnosis in GP practices</x:v>
      </x:c>
      <x:c r="G10" s="19" t="str">
        <x:v>https://www.hssib.org.uk/patient-safety-investigations/continuity-of-care-delayed-diagnosis-in-gp-practices/</x:v>
      </x:c>
      <x:c r="H10" s="19" t="str">
        <x:v>official safety investigation</x:v>
      </x:c>
      <x:c r="I10" s="19" t="str">
        <x:v>HSSIB</x:v>
      </x:c>
      <x:c r="J10" s="19" t="str">
        <x:v>2023</x:v>
      </x:c>
      <x:c r="K10" s="19" t="str">
        <x:v>2026-05-30</x:v>
      </x:c>
      <x:c r="L10" s="19" t="str">
        <x:v>England</x:v>
      </x:c>
      <x:c r="M10" s="19" t="str">
        <x:v>general practice / ED / oncology</x:v>
      </x:c>
      <x:c r="N10" s="19" t="str">
        <x:v>high</x:v>
      </x:c>
      <x:c r="O10" s="19" t="str">
        <x:v>Repeated visits and continuity failures in delayed metastatic cancer diagnosis.</x:v>
      </x:c>
      <x:c r="P10" s="19" t="str">
        <x:v>01_sources/raw_sources/reports/s009_source_summary.md</x:v>
      </x:c>
      <x:c r="Q10" s="19" t="str">
        <x:v>Raw source file was not downloaded; source summary file created from completed research notes.</x:v>
      </x:c>
      <x:c r="R10" s="19" t="str">
        <x:v>2026-05-30</x:v>
      </x:c>
    </x:row>
    <x:row r="11">
      <x:c r="A11" s="19" t="str">
        <x:v>research_evidence_package_clinician_side_diagnostic_pain_points_2026-05-30.tar.gz</x:v>
      </x:c>
      <x:c r="B11" s="19" t="str">
        <x:v>Research D / clinician-side diagnostic pain points</x:v>
      </x:c>
      <x:c r="C11" s="19" t="str">
        <x:v>research_evidence_package_clinician_side_diagnostic_pain_points_2026-05-30.tar.gz::S010</x:v>
      </x:c>
      <x:c r="D11" s="19" t="str">
        <x:v>S010</x:v>
      </x:c>
      <x:c r="E11" s="19" t="str">
        <x:v>Research D — clinician-side pain points in identifying health issues early</x:v>
      </x:c>
      <x:c r="F11" s="19" t="str">
        <x:v>Workforce and patient safety: online consultation tools in general practice</x:v>
      </x:c>
      <x:c r="G11" s="19" t="str">
        <x:v>https://www.hssib.org.uk/patient-safety-investigations/workforce-and-patient-safety/second-investigation-report/</x:v>
      </x:c>
      <x:c r="H11" s="19" t="str">
        <x:v>official safety investigation</x:v>
      </x:c>
      <x:c r="I11" s="19" t="str">
        <x:v>HSSIB</x:v>
      </x:c>
      <x:c r="J11" s="19" t="str">
        <x:v>2024</x:v>
      </x:c>
      <x:c r="K11" s="19" t="str">
        <x:v>2026-05-30</x:v>
      </x:c>
      <x:c r="L11" s="19" t="str">
        <x:v>England</x:v>
      </x:c>
      <x:c r="M11" s="19" t="str">
        <x:v>general practice / online consultation</x:v>
      </x:c>
      <x:c r="N11" s="19" t="str">
        <x:v>high</x:v>
      </x:c>
      <x:c r="O11" s="19" t="str">
        <x:v>Digital intake and triage can lose patient history and force single-symptom routes.</x:v>
      </x:c>
      <x:c r="P11" s="19" t="str">
        <x:v>01_sources/raw_sources/reports/s010_source_summary.md</x:v>
      </x:c>
      <x:c r="Q11" s="19" t="str">
        <x:v>Raw source file was not downloaded; source summary file created from completed research notes.</x:v>
      </x:c>
      <x:c r="R11" s="19" t="str">
        <x:v>2026-05-30</x:v>
      </x:c>
    </x:row>
    <x:row r="12">
      <x:c r="A12" s="19" t="str">
        <x:v>research_evidence_package_clinician_side_diagnostic_pain_points_2026-05-30.tar.gz</x:v>
      </x:c>
      <x:c r="B12" s="19" t="str">
        <x:v>Research D / clinician-side diagnostic pain points</x:v>
      </x:c>
      <x:c r="C12" s="19" t="str">
        <x:v>research_evidence_package_clinician_side_diagnostic_pain_points_2026-05-30.tar.gz::S011</x:v>
      </x:c>
      <x:c r="D12" s="19" t="str">
        <x:v>S011</x:v>
      </x:c>
      <x:c r="E12" s="19" t="str">
        <x:v>Research D — clinician-side pain points in identifying health issues early</x:v>
      </x:c>
      <x:c r="F12" s="19" t="str">
        <x:v>The impact of staff fatigue on patient safety</x:v>
      </x:c>
      <x:c r="G12" s="19" t="str">
        <x:v>https://www.hssib.org.uk/patient-safety-investigations/the-impact-of-staff-fatigue-on-patient-safety/investigation-report/</x:v>
      </x:c>
      <x:c r="H12" s="19" t="str">
        <x:v>official safety investigation</x:v>
      </x:c>
      <x:c r="I12" s="19" t="str">
        <x:v>HSSIB</x:v>
      </x:c>
      <x:c r="J12" s="19" t="str">
        <x:v>2025</x:v>
      </x:c>
      <x:c r="K12" s="19" t="str">
        <x:v>2026-05-30</x:v>
      </x:c>
      <x:c r="L12" s="19" t="str">
        <x:v>England</x:v>
      </x:c>
      <x:c r="M12" s="19" t="str">
        <x:v>acute hospitals</x:v>
      </x:c>
      <x:c r="N12" s="19" t="str">
        <x:v>high</x:v>
      </x:c>
      <x:c r="O12" s="19" t="str">
        <x:v>Staff fatigue contributes directly and indirectly to patient harm but is not routinely captured.</x:v>
      </x:c>
      <x:c r="P12" s="19" t="str">
        <x:v>01_sources/raw_sources/reports/s011_source_summary.md</x:v>
      </x:c>
      <x:c r="Q12" s="19" t="str">
        <x:v>Raw source file was not downloaded; source summary file created from completed research notes.</x:v>
      </x:c>
      <x:c r="R12" s="19" t="str">
        <x:v>2026-05-30</x:v>
      </x:c>
    </x:row>
    <x:row r="13">
      <x:c r="A13" s="19" t="str">
        <x:v>research_evidence_package_clinician_side_diagnostic_pain_points_2026-05-30.tar.gz</x:v>
      </x:c>
      <x:c r="B13" s="19" t="str">
        <x:v>Research D / clinician-side diagnostic pain points</x:v>
      </x:c>
      <x:c r="C13" s="19" t="str">
        <x:v>research_evidence_package_clinician_side_diagnostic_pain_points_2026-05-30.tar.gz::S012</x:v>
      </x:c>
      <x:c r="D13" s="19" t="str">
        <x:v>S012</x:v>
      </x:c>
      <x:c r="E13" s="19" t="str">
        <x:v>Research D — clinician-side pain points in identifying health issues early</x:v>
      </x:c>
      <x:c r="F13" s="19" t="str">
        <x:v>Diagnostic Errors in the Emergency Department: A Systematic Review</x:v>
      </x:c>
      <x:c r="G13" s="19" t="str">
        <x:v>https://www.ncbi.nlm.nih.gov/sites/books/NBK588118/</x:v>
      </x:c>
      <x:c r="H13" s="19" t="str">
        <x:v>systematic review</x:v>
      </x:c>
      <x:c r="I13" s="19" t="str">
        <x:v>AHRQ / Newman-Toker et al.</x:v>
      </x:c>
      <x:c r="J13" s="19" t="str">
        <x:v>2022</x:v>
      </x:c>
      <x:c r="K13" s="19" t="str">
        <x:v>2026-05-30</x:v>
      </x:c>
      <x:c r="L13" s="19" t="str">
        <x:v>Mostly United States</x:v>
      </x:c>
      <x:c r="M13" s="19" t="str">
        <x:v>emergency department</x:v>
      </x:c>
      <x:c r="N13" s="19" t="str">
        <x:v>high</x:v>
      </x:c>
      <x:c r="O13" s="19" t="str">
        <x:v>High-risk ED conditions and atypical/subtle presentation patterns in serious diagnostic harm.</x:v>
      </x:c>
      <x:c r="P13" s="19" t="str">
        <x:v>01_sources/raw_sources/reviews/s012_source_summary.md</x:v>
      </x:c>
      <x:c r="Q13" s="19" t="str">
        <x:v>Raw source file was not downloaded; source summary file created from completed research notes.</x:v>
      </x:c>
      <x:c r="R13" s="19" t="str">
        <x:v>2026-05-30</x:v>
      </x:c>
    </x:row>
    <x:row r="14">
      <x:c r="A14" s="19" t="str">
        <x:v>research_evidence_package_clinician_side_diagnostic_pain_points_2026-05-30.tar.gz</x:v>
      </x:c>
      <x:c r="B14" s="19" t="str">
        <x:v>Research D / clinician-side diagnostic pain points</x:v>
      </x:c>
      <x:c r="C14" s="19" t="str">
        <x:v>research_evidence_package_clinician_side_diagnostic_pain_points_2026-05-30.tar.gz::S013</x:v>
      </x:c>
      <x:c r="D14" s="19" t="str">
        <x:v>S013</x:v>
      </x:c>
      <x:c r="E14" s="19" t="str">
        <x:v>Research D — clinician-side pain points in identifying health issues early</x:v>
      </x:c>
      <x:c r="F14" s="19" t="str">
        <x:v>AHRQ Report on Diagnostic Errors in the Emergency Department: The Wrong Answer to the Wrong Question</x:v>
      </x:c>
      <x:c r="G14" s="19" t="str">
        <x:v>https://psnet.ahrq.gov/issue/ahrq-report-diagnostic-errors-emergency-department-wrong-answer-wrong-question</x:v>
      </x:c>
      <x:c r="H14" s="19" t="str">
        <x:v>peer-reviewed commentary summary</x:v>
      </x:c>
      <x:c r="I14" s="19" t="str">
        <x:v>Kelen et al. / PSNet</x:v>
      </x:c>
      <x:c r="J14" s="19" t="str">
        <x:v>2023</x:v>
      </x:c>
      <x:c r="K14" s="19" t="str">
        <x:v>2026-05-30</x:v>
      </x:c>
      <x:c r="L14" s="19" t="str">
        <x:v>United States</x:v>
      </x:c>
      <x:c r="M14" s="19" t="str">
        <x:v>emergency department</x:v>
      </x:c>
      <x:c r="N14" s="19" t="str">
        <x:v>medium</x:v>
      </x:c>
      <x:c r="O14" s="19" t="str">
        <x:v>Counterpoint emphasizing crowding/systemic causes of ED diagnostic safety problems.</x:v>
      </x:c>
      <x:c r="P14" s="19" t="str">
        <x:v>01_sources/raw_sources/articles/s013_source_summary.md</x:v>
      </x:c>
      <x:c r="Q14" s="19" t="str">
        <x:v>Raw source file was not downloaded; source summary file created from completed research notes.</x:v>
      </x:c>
      <x:c r="R14" s="19" t="str">
        <x:v>2026-05-30</x:v>
      </x:c>
    </x:row>
    <x:row r="15">
      <x:c r="A15" s="19" t="str">
        <x:v>research_evidence_package_clinician_side_diagnostic_pain_points_2026-05-30.tar.gz</x:v>
      </x:c>
      <x:c r="B15" s="19" t="str">
        <x:v>Research D / clinician-side diagnostic pain points</x:v>
      </x:c>
      <x:c r="C15" s="19" t="str">
        <x:v>research_evidence_package_clinician_side_diagnostic_pain_points_2026-05-30.tar.gz::S014</x:v>
      </x:c>
      <x:c r="D15" s="19" t="str">
        <x:v>S014</x:v>
      </x:c>
      <x:c r="E15" s="19" t="str">
        <x:v>Research D — clinician-side pain points in identifying health issues early</x:v>
      </x:c>
      <x:c r="F15" s="19" t="str">
        <x:v>It is the patient that suffers from poor communication: communication barriers during nurse handovers in Ghanaian hospitals</x:v>
      </x:c>
      <x:c r="G15" s="19" t="str">
        <x:v>https://www.sciencedirect.com/science/article/pii/S266732152400091X</x:v>
      </x:c>
      <x:c r="H15" s="19" t="str">
        <x:v>peer-reviewed qualitative study</x:v>
      </x:c>
      <x:c r="I15" s="19" t="str">
        <x:v>unknown</x:v>
      </x:c>
      <x:c r="J15" s="19" t="str">
        <x:v>2024</x:v>
      </x:c>
      <x:c r="K15" s="19" t="str">
        <x:v>2026-05-30</x:v>
      </x:c>
      <x:c r="L15" s="19" t="str">
        <x:v>Ghana</x:v>
      </x:c>
      <x:c r="M15" s="19" t="str">
        <x:v>referral hospitals: ED, ICU, wards, maternity</x:v>
      </x:c>
      <x:c r="N15" s="19" t="str">
        <x:v>medium</x:v>
      </x:c>
      <x:c r="O15" s="19" t="str">
        <x:v>Nurse handover gaps linked to documentation, training, formal procedures, and communication barriers.</x:v>
      </x:c>
      <x:c r="P15" s="19" t="str">
        <x:v>01_sources/raw_sources/articles/s014_source_summary.md</x:v>
      </x:c>
      <x:c r="Q15" s="19" t="str">
        <x:v>Raw source file was not downloaded; source summary file created from completed research notes.</x:v>
      </x:c>
      <x:c r="R15" s="19" t="str">
        <x:v>2026-05-30</x:v>
      </x:c>
    </x:row>
    <x:row r="16">
      <x:c r="A16" s="19" t="str">
        <x:v>research_evidence_package_clinician_side_diagnostic_pain_points_2026-05-30.tar.gz</x:v>
      </x:c>
      <x:c r="B16" s="19" t="str">
        <x:v>Research D / clinician-side diagnostic pain points</x:v>
      </x:c>
      <x:c r="C16" s="19" t="str">
        <x:v>research_evidence_package_clinician_side_diagnostic_pain_points_2026-05-30.tar.gz::S015</x:v>
      </x:c>
      <x:c r="D16" s="19" t="str">
        <x:v>S015</x:v>
      </x:c>
      <x:c r="E16" s="19" t="str">
        <x:v>Research D — clinician-side pain points in identifying health issues early</x:v>
      </x:c>
      <x:c r="F16" s="19" t="str">
        <x:v>Assessments Under Pressure: Interviews With Triage Nurses in Emergency Care</x:v>
      </x:c>
      <x:c r="G16" s="19" t="str">
        <x:v>https://research-portal.uea.ac.uk/en/publications/assessments-under-pressure-interviews-with-triage-nurses-in-emerg/</x:v>
      </x:c>
      <x:c r="H16" s="19" t="str">
        <x:v>peer-reviewed qualitative study</x:v>
      </x:c>
      <x:c r="I16" s="19" t="str">
        <x:v>unknown</x:v>
      </x:c>
      <x:c r="J16" s="19" t="str">
        <x:v>2025/2026</x:v>
      </x:c>
      <x:c r="K16" s="19" t="str">
        <x:v>2026-05-30</x:v>
      </x:c>
      <x:c r="L16" s="19" t="str">
        <x:v>United Kingdom</x:v>
      </x:c>
      <x:c r="M16" s="19" t="str">
        <x:v>emergency department triage</x:v>
      </x:c>
      <x:c r="N16" s="19" t="str">
        <x:v>medium</x:v>
      </x:c>
      <x:c r="O16" s="19" t="str">
        <x:v>Triage nurse decisions affected by training, experience, culture, and cognitive/emotional strain.</x:v>
      </x:c>
      <x:c r="P16" s="19" t="str">
        <x:v>01_sources/raw_sources/articles/s015_source_summary.md</x:v>
      </x:c>
      <x:c r="Q16" s="19" t="str">
        <x:v>Raw source file was not downloaded; source summary file created from completed research notes.</x:v>
      </x:c>
      <x:c r="R16" s="19" t="str">
        <x:v>2026-05-30</x:v>
      </x:c>
    </x:row>
    <x:row r="17">
      <x:c r="A17" s="19" t="str">
        <x:v>research_evidence_package_clinician_side_diagnostic_pain_points_2026-05-30.tar.gz</x:v>
      </x:c>
      <x:c r="B17" s="19" t="str">
        <x:v>Research D / clinician-side diagnostic pain points</x:v>
      </x:c>
      <x:c r="C17" s="19" t="str">
        <x:v>research_evidence_package_clinician_side_diagnostic_pain_points_2026-05-30.tar.gz::S016</x:v>
      </x:c>
      <x:c r="D17" s="19" t="str">
        <x:v>S016</x:v>
      </x:c>
      <x:c r="E17" s="19" t="str">
        <x:v>Research D — clinician-side pain points in identifying health issues early</x:v>
      </x:c>
      <x:c r="F17" s="19" t="str">
        <x:v>Closing the loop on diagnostic referrals</x:v>
      </x:c>
      <x:c r="G17" s="19" t="str">
        <x:v>https://bmjopenquality.bmj.com/content/10/4/e001603</x:v>
      </x:c>
      <x:c r="H17" s="19" t="str">
        <x:v>peer-reviewed systems-engineering analysis</x:v>
      </x:c>
      <x:c r="I17" s="19" t="str">
        <x:v>unknown</x:v>
      </x:c>
      <x:c r="J17" s="19" t="str">
        <x:v>2021</x:v>
      </x:c>
      <x:c r="K17" s="19" t="str">
        <x:v>2026-05-30</x:v>
      </x:c>
      <x:c r="L17" s="19" t="str">
        <x:v>United States</x:v>
      </x:c>
      <x:c r="M17" s="19" t="str">
        <x:v>primary-specialty referrals</x:v>
      </x:c>
      <x:c r="N17" s="19" t="str">
        <x:v>medium-high</x:v>
      </x:c>
      <x:c r="O17" s="19" t="str">
        <x:v>Referral-loop failures and delays; redesign principles for closed-loop diagnostic referral.</x:v>
      </x:c>
      <x:c r="P17" s="19" t="str">
        <x:v>01_sources/raw_sources/articles/s016_source_summary.md</x:v>
      </x:c>
      <x:c r="Q17" s="19" t="str">
        <x:v>Raw source file was not downloaded; source summary file created from completed research notes.</x:v>
      </x:c>
      <x:c r="R17" s="19" t="str">
        <x:v>2026-05-30</x:v>
      </x:c>
    </x:row>
    <x:row r="18">
      <x:c r="A18" s="19" t="str">
        <x:v>research_evidence_package_clinician_side_diagnostic_pain_points_2026-05-30.tar.gz</x:v>
      </x:c>
      <x:c r="B18" s="19" t="str">
        <x:v>Research D / clinician-side diagnostic pain points</x:v>
      </x:c>
      <x:c r="C18" s="19" t="str">
        <x:v>research_evidence_package_clinician_side_diagnostic_pain_points_2026-05-30.tar.gz::S017</x:v>
      </x:c>
      <x:c r="D18" s="19" t="str">
        <x:v>S017</x:v>
      </x:c>
      <x:c r="E18" s="19" t="str">
        <x:v>Research D — clinician-side pain points in identifying health issues early</x:v>
      </x:c>
      <x:c r="F18" s="19" t="str">
        <x:v>Primary care-specialist communication gaps despite electronic health record diffusion</x:v>
      </x:c>
      <x:c r="G18" s="19" t="str">
        <x:v>https://pmc.ncbi.nlm.nih.gov/articles/PMC9328695/</x:v>
      </x:c>
      <x:c r="H18" s="19" t="str">
        <x:v>peer-reviewed survey</x:v>
      </x:c>
      <x:c r="I18" s="19" t="str">
        <x:v>unknown</x:v>
      </x:c>
      <x:c r="J18" s="19" t="str">
        <x:v>2022</x:v>
      </x:c>
      <x:c r="K18" s="19" t="str">
        <x:v>2026-05-30</x:v>
      </x:c>
      <x:c r="L18" s="19" t="str">
        <x:v>United States</x:v>
      </x:c>
      <x:c r="M18" s="19" t="str">
        <x:v>primary / specialty care</x:v>
      </x:c>
      <x:c r="N18" s="19" t="str">
        <x:v>medium-high</x:v>
      </x:c>
      <x:c r="O18" s="19" t="str">
        <x:v>Communication gaps between PCPs and specialists remain despite EHR diffusion.</x:v>
      </x:c>
      <x:c r="P18" s="19" t="str">
        <x:v>01_sources/raw_sources/articles/s017_source_summary.md</x:v>
      </x:c>
      <x:c r="Q18" s="19" t="str">
        <x:v>Raw source file was not downloaded; source summary file created from completed research notes.</x:v>
      </x:c>
      <x:c r="R18" s="19" t="str">
        <x:v>2026-05-30</x:v>
      </x:c>
    </x:row>
    <x:row r="19">
      <x:c r="A19" s="19" t="str">
        <x:v>research_evidence_package_clinician_side_diagnostic_pain_points_2026-05-30.tar.gz</x:v>
      </x:c>
      <x:c r="B19" s="19" t="str">
        <x:v>Research D / clinician-side diagnostic pain points</x:v>
      </x:c>
      <x:c r="C19" s="19" t="str">
        <x:v>research_evidence_package_clinician_side_diagnostic_pain_points_2026-05-30.tar.gz::S018</x:v>
      </x:c>
      <x:c r="D19" s="19" t="str">
        <x:v>S018</x:v>
      </x:c>
      <x:c r="E19" s="19" t="str">
        <x:v>Research D — clinician-side pain points in identifying health issues early</x:v>
      </x:c>
      <x:c r="F19" s="19" t="str">
        <x:v>EHR usability and abnormal test-result management simulation</x:v>
      </x:c>
      <x:c r="G19" s="19" t="str">
        <x:v>https://pmc.ncbi.nlm.nih.gov/articles/PMC6450327/</x:v>
      </x:c>
      <x:c r="H19" s="19" t="str">
        <x:v>JAMA Network Open quality-improvement simulation</x:v>
      </x:c>
      <x:c r="I19" s="19" t="str">
        <x:v>unknown</x:v>
      </x:c>
      <x:c r="J19" s="19" t="str">
        <x:v>2019</x:v>
      </x:c>
      <x:c r="K19" s="19" t="str">
        <x:v>2026-05-30</x:v>
      </x:c>
      <x:c r="L19" s="19" t="str">
        <x:v>United States</x:v>
      </x:c>
      <x:c r="M19" s="19" t="str">
        <x:v>EHR test-result management</x:v>
      </x:c>
      <x:c r="N19" s="19" t="str">
        <x:v>medium-high</x:v>
      </x:c>
      <x:c r="O19" s="19" t="str">
        <x:v>Enhanced usability and longitudinal tracking reduced cognitive workload and improved abnormal-result management.</x:v>
      </x:c>
      <x:c r="P19" s="19" t="str">
        <x:v>01_sources/raw_sources/articles/s018_source_summary.md</x:v>
      </x:c>
      <x:c r="Q19" s="19" t="str">
        <x:v>Raw source file was not downloaded; source summary file created from completed research notes.</x:v>
      </x:c>
      <x:c r="R19" s="19" t="str">
        <x:v>2026-05-30</x:v>
      </x:c>
    </x:row>
    <x:row r="20">
      <x:c r="A20" s="19" t="str">
        <x:v>research_evidence_package_clinician_side_diagnostic_pain_points_2026-05-30.tar.gz</x:v>
      </x:c>
      <x:c r="B20" s="19" t="str">
        <x:v>Research D / clinician-side diagnostic pain points</x:v>
      </x:c>
      <x:c r="C20" s="19" t="str">
        <x:v>research_evidence_package_clinician_side_diagnostic_pain_points_2026-05-30.tar.gz::S019</x:v>
      </x:c>
      <x:c r="D20" s="19" t="str">
        <x:v>S019</x:v>
      </x:c>
      <x:c r="E20" s="19" t="str">
        <x:v>Research D — clinician-side pain points in identifying health issues early</x:v>
      </x:c>
      <x:c r="F20" s="19" t="str">
        <x:v>Note bloat and EHR documentation burden</x:v>
      </x:c>
      <x:c r="G20" s="19" t="str">
        <x:v>https://pmc.ncbi.nlm.nih.gov/articles/PMC11852943/</x:v>
      </x:c>
      <x:c r="H20" s="19" t="str">
        <x:v>peer-reviewed / expert review</x:v>
      </x:c>
      <x:c r="I20" s="19" t="str">
        <x:v>unknown</x:v>
      </x:c>
      <x:c r="J20" s="19" t="str">
        <x:v>2024/2025</x:v>
      </x:c>
      <x:c r="K20" s="19" t="str">
        <x:v>2026-05-30</x:v>
      </x:c>
      <x:c r="L20" s="19" t="str">
        <x:v>United States</x:v>
      </x:c>
      <x:c r="M20" s="19" t="str">
        <x:v>EHR documentation across settings</x:v>
      </x:c>
      <x:c r="N20" s="19" t="str">
        <x:v>medium</x:v>
      </x:c>
      <x:c r="O20" s="19" t="str">
        <x:v>Long, redundant notes can obscure critical information and clinical reasoning.</x:v>
      </x:c>
      <x:c r="P20" s="19" t="str">
        <x:v>01_sources/raw_sources/articles/s019_source_summary.md</x:v>
      </x:c>
      <x:c r="Q20" s="19" t="str">
        <x:v>Raw source file was not downloaded; source summary file created from completed research notes.</x:v>
      </x:c>
      <x:c r="R20" s="19" t="str">
        <x:v>2026-05-30</x:v>
      </x:c>
    </x:row>
    <x:row r="21">
      <x:c r="A21" s="19" t="str">
        <x:v>research_evidence_package_clinician_side_diagnostic_pain_points_2026-05-30.tar.gz</x:v>
      </x:c>
      <x:c r="B21" s="19" t="str">
        <x:v>Research D / clinician-side diagnostic pain points</x:v>
      </x:c>
      <x:c r="C21" s="19" t="str">
        <x:v>research_evidence_package_clinician_side_diagnostic_pain_points_2026-05-30.tar.gz::S020</x:v>
      </x:c>
      <x:c r="D21" s="19" t="str">
        <x:v>S020</x:v>
      </x:c>
      <x:c r="E21" s="19" t="str">
        <x:v>Research D — clinician-side pain points in identifying health issues early</x:v>
      </x:c>
      <x:c r="F21" s="19" t="str">
        <x:v>The influence of difficult patient behaviour on physicians’ diagnostic performance</x:v>
      </x:c>
      <x:c r="G21" s="19" t="str">
        <x:v>https://qualitysafety.bmj.com/content/26/1/13</x:v>
      </x:c>
      <x:c r="H21" s="19" t="str">
        <x:v>peer-reviewed experiments</x:v>
      </x:c>
      <x:c r="I21" s="19" t="str">
        <x:v>unknown</x:v>
      </x:c>
      <x:c r="J21" s="19" t="str">
        <x:v>2017</x:v>
      </x:c>
      <x:c r="K21" s="19" t="str">
        <x:v>2026-05-30</x:v>
      </x:c>
      <x:c r="L21" s="19" t="str">
        <x:v>Netherlands</x:v>
      </x:c>
      <x:c r="M21" s="19" t="str">
        <x:v>physician diagnostic reasoning</x:v>
      </x:c>
      <x:c r="N21" s="19" t="str">
        <x:v>medium</x:v>
      </x:c>
      <x:c r="O21" s="19" t="str">
        <x:v>Difficult-patient behaviors can negatively affect diagnostic reasoning in experiments.</x:v>
      </x:c>
      <x:c r="P21" s="19" t="str">
        <x:v>01_sources/raw_sources/articles/s020_source_summary.md</x:v>
      </x:c>
      <x:c r="Q21" s="19" t="str">
        <x:v>Raw source file was not downloaded; source summary file created from completed research notes.</x:v>
      </x:c>
      <x:c r="R21" s="19" t="str">
        <x:v>2026-05-30</x:v>
      </x:c>
    </x:row>
    <x:row r="22">
      <x:c r="A22" s="19" t="str">
        <x:v>research_evidence_package_clinician_side_diagnostic_pain_points_2026-05-30.tar.gz</x:v>
      </x:c>
      <x:c r="B22" s="19" t="str">
        <x:v>Research D / clinician-side diagnostic pain points</x:v>
      </x:c>
      <x:c r="C22" s="19" t="str">
        <x:v>research_evidence_package_clinician_side_diagnostic_pain_points_2026-05-30.tar.gz::S021</x:v>
      </x:c>
      <x:c r="D22" s="19" t="str">
        <x:v>S021</x:v>
      </x:c>
      <x:c r="E22" s="19" t="str">
        <x:v>Research D — clinician-side pain points in identifying health issues early</x:v>
      </x:c>
      <x:c r="F22" s="19" t="str">
        <x:v>Diagnostic overshadowing in emergency departments</x:v>
      </x:c>
      <x:c r="G22" s="19" t="str">
        <x:v>https://journals.plos.org/plosone/article?id=10.1371%2Fjournal.pone.0111682</x:v>
      </x:c>
      <x:c r="H22" s="19" t="str">
        <x:v>peer-reviewed qualitative study</x:v>
      </x:c>
      <x:c r="I22" s="19" t="str">
        <x:v>unknown</x:v>
      </x:c>
      <x:c r="J22" s="19" t="str">
        <x:v>2014</x:v>
      </x:c>
      <x:c r="K22" s="19" t="str">
        <x:v>2026-05-30</x:v>
      </x:c>
      <x:c r="L22" s="19" t="str">
        <x:v>United Kingdom</x:v>
      </x:c>
      <x:c r="M22" s="19" t="str">
        <x:v>ED and psychiatric liaison</x:v>
      </x:c>
      <x:c r="N22" s="19" t="str">
        <x:v>medium</x:v>
      </x:c>
      <x:c r="O22" s="19" t="str">
        <x:v>Physical symptoms may be misattributed to mental illness in ED care.</x:v>
      </x:c>
      <x:c r="P22" s="19" t="str">
        <x:v>01_sources/raw_sources/articles/s021_source_summary.md</x:v>
      </x:c>
      <x:c r="Q22" s="19" t="str">
        <x:v>Raw source file was not downloaded; source summary file created from completed research notes.</x:v>
      </x:c>
      <x:c r="R22" s="19" t="str">
        <x:v>2026-05-30</x:v>
      </x:c>
    </x:row>
    <x:row r="23">
      <x:c r="A23" s="19" t="str">
        <x:v>research_evidence_package_clinician_side_diagnostic_pain_points_2026-05-30.tar.gz</x:v>
      </x:c>
      <x:c r="B23" s="19" t="str">
        <x:v>Research D / clinician-side diagnostic pain points</x:v>
      </x:c>
      <x:c r="C23" s="19" t="str">
        <x:v>research_evidence_package_clinician_side_diagnostic_pain_points_2026-05-30.tar.gz::S022</x:v>
      </x:c>
      <x:c r="D23" s="19" t="str">
        <x:v>S022</x:v>
      </x:c>
      <x:c r="E23" s="19" t="str">
        <x:v>Research D — clinician-side pain points in identifying health issues early</x:v>
      </x:c>
      <x:c r="F23" s="19" t="str">
        <x:v>Rural India community health workers and early cancer detection</x:v>
      </x:c>
      <x:c r="G23" s="19" t="str">
        <x:v>https://link.springer.com/article/10.1186/s12889-025-22735-y</x:v>
      </x:c>
      <x:c r="H23" s="19" t="str">
        <x:v>peer-reviewed qualitative study</x:v>
      </x:c>
      <x:c r="I23" s="19" t="str">
        <x:v>unknown</x:v>
      </x:c>
      <x:c r="J23" s="19" t="str">
        <x:v>2025</x:v>
      </x:c>
      <x:c r="K23" s="19" t="str">
        <x:v>2026-05-30</x:v>
      </x:c>
      <x:c r="L23" s="19" t="str">
        <x:v>India</x:v>
      </x:c>
      <x:c r="M23" s="19" t="str">
        <x:v>rural / community health</x:v>
      </x:c>
      <x:c r="N23" s="19" t="str">
        <x:v>medium-high</x:v>
      </x:c>
      <x:c r="O23" s="19" t="str">
        <x:v>CHWs reported barriers to early cancer detection and referral.</x:v>
      </x:c>
      <x:c r="P23" s="19" t="str">
        <x:v>01_sources/raw_sources/articles/s022_source_summary.md</x:v>
      </x:c>
      <x:c r="Q23" s="19" t="str">
        <x:v>Raw source file was not downloaded; source summary file created from completed research notes.</x:v>
      </x:c>
      <x:c r="R23" s="19" t="str">
        <x:v>2026-05-30</x:v>
      </x:c>
    </x:row>
    <x:row r="24">
      <x:c r="A24" s="19" t="str">
        <x:v>research_evidence_package_clinician_side_diagnostic_pain_points_2026-05-30.tar.gz</x:v>
      </x:c>
      <x:c r="B24" s="19" t="str">
        <x:v>Research D / clinician-side diagnostic pain points</x:v>
      </x:c>
      <x:c r="C24" s="19" t="str">
        <x:v>research_evidence_package_clinician_side_diagnostic_pain_points_2026-05-30.tar.gz::S023</x:v>
      </x:c>
      <x:c r="D24" s="19" t="str">
        <x:v>S023</x:v>
      </x:c>
      <x:c r="E24" s="19" t="str">
        <x:v>Research D — clinician-side pain points in identifying health issues early</x:v>
      </x:c>
      <x:c r="F24" s="19" t="str">
        <x:v>Lancet Commission on diagnostics / diagnostic access gap</x:v>
      </x:c>
      <x:c r="G24" s="19" t="str">
        <x:v>https://pmc.ncbi.nlm.nih.gov/articles/PMC8654090/</x:v>
      </x:c>
      <x:c r="H24" s="19" t="str">
        <x:v>commission summary / review</x:v>
      </x:c>
      <x:c r="I24" s="19" t="str">
        <x:v>unknown</x:v>
      </x:c>
      <x:c r="J24" s="19" t="str">
        <x:v>2021</x:v>
      </x:c>
      <x:c r="K24" s="19" t="str">
        <x:v>2026-05-30</x:v>
      </x:c>
      <x:c r="L24" s="19" t="str">
        <x:v>Global / LMIC</x:v>
      </x:c>
      <x:c r="M24" s="19" t="str">
        <x:v>low-resource primary care</x:v>
      </x:c>
      <x:c r="N24" s="19" t="str">
        <x:v>high</x:v>
      </x:c>
      <x:c r="O24" s="19" t="str">
        <x:v>Large global gap in access to basic diagnostics, especially in low- and lower-middle-income settings.</x:v>
      </x:c>
      <x:c r="P24" s="19" t="str">
        <x:v>01_sources/raw_sources/reviews/s023_source_summary.md</x:v>
      </x:c>
      <x:c r="Q24" s="19" t="str">
        <x:v>Raw source file was not downloaded; source summary file created from completed research notes.</x:v>
      </x:c>
      <x:c r="R24" s="19" t="str">
        <x:v>2026-05-30</x:v>
      </x:c>
    </x:row>
    <x:row r="25">
      <x:c r="A25" s="19" t="str">
        <x:v>research_evidence_package_clinician_side_diagnostic_pain_points_2026-05-30.tar.gz</x:v>
      </x:c>
      <x:c r="B25" s="19" t="str">
        <x:v>Research D / clinician-side diagnostic pain points</x:v>
      </x:c>
      <x:c r="C25" s="19" t="str">
        <x:v>research_evidence_package_clinician_side_diagnostic_pain_points_2026-05-30.tar.gz::S024</x:v>
      </x:c>
      <x:c r="D25" s="19" t="str">
        <x:v>S024</x:v>
      </x:c>
      <x:c r="E25" s="19" t="str">
        <x:v>Research D — clinician-side pain points in identifying health issues early</x:v>
      </x:c>
      <x:c r="F25" s="19" t="str">
        <x:v>KevinMD emergency diagnostic-error podcast / clinician commentary</x:v>
      </x:c>
      <x:c r="G25" s="19" t="str">
        <x:v>https://www.kevinmd.com/2025/04/how-to-reduce-diagnostic-error-in-the-emergency-department-podcast.html</x:v>
      </x:c>
      <x:c r="H25" s="19" t="str">
        <x:v>clinician podcast/blog commentary</x:v>
      </x:c>
      <x:c r="I25" s="19" t="str">
        <x:v>unknown</x:v>
      </x:c>
      <x:c r="J25" s="19" t="str">
        <x:v>2025</x:v>
      </x:c>
      <x:c r="K25" s="19" t="str">
        <x:v>2026-05-30</x:v>
      </x:c>
      <x:c r="L25" s="19" t="str">
        <x:v>United States</x:v>
      </x:c>
      <x:c r="M25" s="19" t="str">
        <x:v>emergency department</x:v>
      </x:c>
      <x:c r="N25" s="19" t="str">
        <x:v>low-medium</x:v>
      </x:c>
      <x:c r="O25" s="19" t="str">
        <x:v>Clinician commentary about ED diagnostic-error reduction and seeing the real clinician screen/workflow.</x:v>
      </x:c>
      <x:c r="P25" s="19" t="str">
        <x:v>01_sources/raw_sources/blogs/s024_source_summary.md</x:v>
      </x:c>
      <x:c r="Q25" s="19" t="str">
        <x:v>Raw source file was not downloaded; source summary file created from completed research notes.</x:v>
      </x:c>
      <x:c r="R25" s="19" t="str">
        <x:v>2026-05-30</x:v>
      </x:c>
    </x:row>
    <x:row r="26">
      <x:c r="A26" s="19" t="str">
        <x:v>research_evidence_package_global_health_issue_identification_2026-05-30.tar.gz</x:v>
      </x:c>
      <x:c r="B26" s="19" t="str">
        <x:v>Research E / global health issue identification</x:v>
      </x:c>
      <x:c r="C26" s="19" t="str">
        <x:v>research_evidence_package_global_health_issue_identification_2026-05-30.tar.gz::S001</x:v>
      </x:c>
      <x:c r="D26" s="19" t="str">
        <x:v>S001</x:v>
      </x:c>
      <x:c r="E26" s="19" t="str">
        <x:v>Research E — Global, cultural, and resource-level comparison of health issue identification workflows</x:v>
      </x:c>
      <x:c r="F26" s="19" t="str">
        <x:v>Improving Diagnosis in Health Care</x:v>
      </x:c>
      <x:c r="G26" s="19" t="str">
        <x:v>https://www.nationalacademies.org/projects/IOM-HCS-13-03/publication/21794</x:v>
      </x:c>
      <x:c r="H26" s="19" t="str">
        <x:v>medical literature / national report</x:v>
      </x:c>
      <x:c r="I26" s="19" t="str">
        <x:v>National Academies of Sciences, Engineering, and Medicine</x:v>
      </x:c>
      <x:c r="J26" s="19" t="str">
        <x:v>2015</x:v>
      </x:c>
      <x:c r="K26" s="19" t="str">
        <x:v>2026-05-30</x:v>
      </x:c>
      <x:c r="L26" s="19" t="str">
        <x:v>US / generalizable</x:v>
      </x:c>
      <x:c r="M26" s="19" t="str">
        <x:v>all care settings</x:v>
      </x:c>
      <x:c r="N26" s="19" t="str">
        <x:v>high</x:v>
      </x:c>
      <x:c r="O26" s="19" t="str">
        <x:v>Diagnosis is framed as a complex collaborative process; diagnostic errors occur across settings and most people may experience one in their lifetime.</x:v>
      </x:c>
      <x:c r="P26" s="19" t="str">
        <x:v>01_sources/raw_sources/reports/s001_improving_diagnosis_in_health_care.md</x:v>
      </x:c>
      <x:c r="Q26" s="19" t="str">
        <x:v>Raw file is a source-summary stub, not a full web capture.</x:v>
      </x:c>
      <x:c r="R26" s="19" t="str">
        <x:v>2026-05-30</x:v>
      </x:c>
    </x:row>
    <x:row r="27">
      <x:c r="A27" s="19" t="str">
        <x:v>research_evidence_package_global_health_issue_identification_2026-05-30.tar.gz</x:v>
      </x:c>
      <x:c r="B27" s="19" t="str">
        <x:v>Research E / global health issue identification</x:v>
      </x:c>
      <x:c r="C27" s="19" t="str">
        <x:v>research_evidence_package_global_health_issue_identification_2026-05-30.tar.gz::S002</x:v>
      </x:c>
      <x:c r="D27" s="19" t="str">
        <x:v>S002</x:v>
      </x:c>
      <x:c r="E27" s="19" t="str">
        <x:v>Research E — Global, cultural, and resource-level comparison of health issue identification workflows</x:v>
      </x:c>
      <x:c r="F27" s="19" t="str">
        <x:v>The Economics of Diagnostic Safety</x:v>
      </x:c>
      <x:c r="G27" s="19" t="str">
        <x:v>https://www.oecd.org/en/publications/the-economics-of-diagnostic-safety_fc61057a-en.html</x:v>
      </x:c>
      <x:c r="H27" s="19" t="str">
        <x:v>public health-system report</x:v>
      </x:c>
      <x:c r="I27" s="19" t="str">
        <x:v>OECD</x:v>
      </x:c>
      <x:c r="J27" s="19" t="str">
        <x:v>2025</x:v>
      </x:c>
      <x:c r="K27" s="19" t="str">
        <x:v>2026-05-30</x:v>
      </x:c>
      <x:c r="L27" s="19" t="str">
        <x:v>OECD countries</x:v>
      </x:c>
      <x:c r="M27" s="19" t="str">
        <x:v>all care settings</x:v>
      </x:c>
      <x:c r="N27" s="19" t="str">
        <x:v>high</x:v>
      </x:c>
      <x:c r="O27" s="19" t="str">
        <x:v>OECD diagnostic-safety report estimating that up to 15% of diagnoses may be inaccurate, delayed, or wrong.</x:v>
      </x:c>
      <x:c r="P27" s="19" t="str">
        <x:v>01_sources/raw_sources/reports/s002_oecd_diagnostic_safety.md</x:v>
      </x:c>
      <x:c r="Q27" s="19" t="str">
        <x:v>Raw file is a source-summary stub, not a full web capture.</x:v>
      </x:c>
      <x:c r="R27" s="19" t="str">
        <x:v>2026-05-30</x:v>
      </x:c>
    </x:row>
    <x:row r="28">
      <x:c r="A28" s="19" t="str">
        <x:v>research_evidence_package_global_health_issue_identification_2026-05-30.tar.gz</x:v>
      </x:c>
      <x:c r="B28" s="19" t="str">
        <x:v>Research E / global health issue identification</x:v>
      </x:c>
      <x:c r="C28" s="19" t="str">
        <x:v>research_evidence_package_global_health_issue_identification_2026-05-30.tar.gz::S003</x:v>
      </x:c>
      <x:c r="D28" s="19" t="str">
        <x:v>S003</x:v>
      </x:c>
      <x:c r="E28" s="19" t="str">
        <x:v>Research E — Global, cultural, and resource-level comparison of health issue identification workflows</x:v>
      </x:c>
      <x:c r="F28" s="19" t="str">
        <x:v>Diagnostic Safety and Quality</x:v>
      </x:c>
      <x:c r="G28" s="19" t="str">
        <x:v>https://www.ahrq.gov/diagnostic-safety/index.html</x:v>
      </x:c>
      <x:c r="H28" s="19" t="str">
        <x:v>patient safety / government resource</x:v>
      </x:c>
      <x:c r="I28" s="19" t="str">
        <x:v>AHRQ</x:v>
      </x:c>
      <x:c r="J28" s="19" t="str">
        <x:v>unknown</x:v>
      </x:c>
      <x:c r="K28" s="19" t="str">
        <x:v>2026-05-30</x:v>
      </x:c>
      <x:c r="L28" s="19" t="str">
        <x:v>US</x:v>
      </x:c>
      <x:c r="M28" s="19" t="str">
        <x:v>all care settings</x:v>
      </x:c>
      <x:c r="N28" s="19" t="str">
        <x:v>high</x:v>
      </x:c>
      <x:c r="O28" s="19" t="str">
        <x:v>AHRQ resource reporting high burden of death and permanent disability from disease misdiagnosis.</x:v>
      </x:c>
      <x:c r="P28" s="19" t="str">
        <x:v>01_sources/raw_sources/reports/s003_ahrq_diagnostic_safety.md</x:v>
      </x:c>
      <x:c r="Q28" s="19" t="str">
        <x:v>Raw file is a source-summary stub, not a full web capture.</x:v>
      </x:c>
      <x:c r="R28" s="19" t="str">
        <x:v>2026-05-30</x:v>
      </x:c>
    </x:row>
    <x:row r="29">
      <x:c r="A29" s="19" t="str">
        <x:v>research_evidence_package_global_health_issue_identification_2026-05-30.tar.gz</x:v>
      </x:c>
      <x:c r="B29" s="19" t="str">
        <x:v>Research E / global health issue identification</x:v>
      </x:c>
      <x:c r="C29" s="19" t="str">
        <x:v>research_evidence_package_global_health_issue_identification_2026-05-30.tar.gz::S004</x:v>
      </x:c>
      <x:c r="D29" s="19" t="str">
        <x:v>S004</x:v>
      </x:c>
      <x:c r="E29" s="19" t="str">
        <x:v>Research E — Global, cultural, and resource-level comparison of health issue identification workflows</x:v>
      </x:c>
      <x:c r="F29" s="19" t="str">
        <x:v>Diagnostic Errors in the Emergency Department: A Systematic Review</x:v>
      </x:c>
      <x:c r="G29" s="19" t="str">
        <x:v>https://psnet.ahrq.gov/issue/diagnostic-errors-emergency-department-systematic-review?utm_source=chatgpt.com</x:v>
      </x:c>
      <x:c r="H29" s="19" t="str">
        <x:v>evidence review summary</x:v>
      </x:c>
      <x:c r="I29" s="19" t="str">
        <x:v>AHRQ PSNet</x:v>
      </x:c>
      <x:c r="J29" s="19" t="str">
        <x:v>unknown</x:v>
      </x:c>
      <x:c r="K29" s="19" t="str">
        <x:v>2026-05-30</x:v>
      </x:c>
      <x:c r="L29" s="19" t="str">
        <x:v>US</x:v>
      </x:c>
      <x:c r="M29" s="19" t="str">
        <x:v>emergency department</x:v>
      </x:c>
      <x:c r="N29" s="19" t="str">
        <x:v>high</x:v>
      </x:c>
      <x:c r="O29" s="19" t="str">
        <x:v>ED diagnostic-error review summary; estimated roughly 1 in 18 ED patients receive incorrect diagnosis.</x:v>
      </x:c>
      <x:c r="P29" s="19" t="str">
        <x:v>01_sources/raw_sources/reviews/s004_ed_diagnostic_errors.md</x:v>
      </x:c>
      <x:c r="Q29" s="19" t="str">
        <x:v>Raw file is a source-summary stub, not a full web capture.</x:v>
      </x:c>
      <x:c r="R29" s="19" t="str">
        <x:v>2026-05-30</x:v>
      </x:c>
    </x:row>
    <x:row r="30">
      <x:c r="A30" s="19" t="str">
        <x:v>research_evidence_package_global_health_issue_identification_2026-05-30.tar.gz</x:v>
      </x:c>
      <x:c r="B30" s="19" t="str">
        <x:v>Research E / global health issue identification</x:v>
      </x:c>
      <x:c r="C30" s="19" t="str">
        <x:v>research_evidence_package_global_health_issue_identification_2026-05-30.tar.gz::S005</x:v>
      </x:c>
      <x:c r="D30" s="19" t="str">
        <x:v>S005</x:v>
      </x:c>
      <x:c r="E30" s="19" t="str">
        <x:v>Research E — Global, cultural, and resource-level comparison of health issue identification workflows</x:v>
      </x:c>
      <x:c r="F30" s="19" t="str">
        <x:v>Continuity of care: delayed diagnosis in GP practices</x:v>
      </x:c>
      <x:c r="G30" s="19" t="str">
        <x:v>https://www.hssib.org.uk/patient-safety-investigations/continuity-of-care-delayed-diagnosis-in-gp-practices/investigation-report/</x:v>
      </x:c>
      <x:c r="H30" s="19" t="str">
        <x:v>patient safety investigation</x:v>
      </x:c>
      <x:c r="I30" s="19" t="str">
        <x:v>HSSIB</x:v>
      </x:c>
      <x:c r="J30" s="19" t="str">
        <x:v>2025</x:v>
      </x:c>
      <x:c r="K30" s="19" t="str">
        <x:v>2026-05-30</x:v>
      </x:c>
      <x:c r="L30" s="19" t="str">
        <x:v>England</x:v>
      </x:c>
      <x:c r="M30" s="19" t="str">
        <x:v>primary care / GP / ED / physiotherapy</x:v>
      </x:c>
      <x:c r="N30" s="19" t="str">
        <x:v>high</x:v>
      </x:c>
      <x:c r="O30" s="19" t="str">
        <x:v>Investigation using delayed metastatic-cancer diagnosis case to show continuity and IT failures in GP practice workflows.</x:v>
      </x:c>
      <x:c r="P30" s="19" t="str">
        <x:v>01_sources/raw_sources/reports/s005_hssib_continuity_gp.md</x:v>
      </x:c>
      <x:c r="Q30" s="19" t="str">
        <x:v>Raw file is a source-summary stub, not a full web capture.</x:v>
      </x:c>
      <x:c r="R30" s="19" t="str">
        <x:v>2026-05-30</x:v>
      </x:c>
    </x:row>
    <x:row r="31">
      <x:c r="A31" s="19" t="str">
        <x:v>research_evidence_package_global_health_issue_identification_2026-05-30.tar.gz</x:v>
      </x:c>
      <x:c r="B31" s="19" t="str">
        <x:v>Research E / global health issue identification</x:v>
      </x:c>
      <x:c r="C31" s="19" t="str">
        <x:v>research_evidence_package_global_health_issue_identification_2026-05-30.tar.gz::S006</x:v>
      </x:c>
      <x:c r="D31" s="19" t="str">
        <x:v>S006</x:v>
      </x:c>
      <x:c r="E31" s="19" t="str">
        <x:v>Research E — Global, cultural, and resource-level comparison of health issue identification workflows</x:v>
      </x:c>
      <x:c r="F31" s="19" t="str">
        <x:v>Patients being harmed due to repeated mistakes reading scans</x:v>
      </x:c>
      <x:c r="G31" s="19" t="str">
        <x:v>https://www.ombudsman.org.uk/news-and-blog/news/patients-being-harmed-due-repeated-mistakes-reading-scans</x:v>
      </x:c>
      <x:c r="H31" s="19" t="str">
        <x:v>patient complaint / ombudsman report</x:v>
      </x:c>
      <x:c r="I31" s="19" t="str">
        <x:v>Parliamentary and Health Service Ombudsman</x:v>
      </x:c>
      <x:c r="J31" s="19" t="str">
        <x:v>2025</x:v>
      </x:c>
      <x:c r="K31" s="19" t="str">
        <x:v>2026-05-30</x:v>
      </x:c>
      <x:c r="L31" s="19" t="str">
        <x:v>UK</x:v>
      </x:c>
      <x:c r="M31" s="19" t="str">
        <x:v>imaging / hospital / ED</x:v>
      </x:c>
      <x:c r="N31" s="19" t="str">
        <x:v>high</x:v>
      </x:c>
      <x:c r="O31" s="19" t="str">
        <x:v>Ombudsman report on scan interpretation and follow-up failures causing patient harm.</x:v>
      </x:c>
      <x:c r="P31" s="19" t="str">
        <x:v>01_sources/raw_sources/reports/s006_phso_scan_failures.md</x:v>
      </x:c>
      <x:c r="Q31" s="19" t="str">
        <x:v>Raw file is a source-summary stub, not a full web capture.</x:v>
      </x:c>
      <x:c r="R31" s="19" t="str">
        <x:v>2026-05-30</x:v>
      </x:c>
    </x:row>
    <x:row r="32">
      <x:c r="A32" s="19" t="str">
        <x:v>research_evidence_package_global_health_issue_identification_2026-05-30.tar.gz</x:v>
      </x:c>
      <x:c r="B32" s="19" t="str">
        <x:v>Research E / global health issue identification</x:v>
      </x:c>
      <x:c r="C32" s="19" t="str">
        <x:v>research_evidence_package_global_health_issue_identification_2026-05-30.tar.gz::S007</x:v>
      </x:c>
      <x:c r="D32" s="19" t="str">
        <x:v>S007</x:v>
      </x:c>
      <x:c r="E32" s="19" t="str">
        <x:v>Research E — Global, cultural, and resource-level comparison of health issue identification workflows</x:v>
      </x:c>
      <x:c r="F32" s="19" t="str">
        <x:v>More action on sepsis needed as NHS Ombudsman still seeing same failings a decade on</x:v>
      </x:c>
      <x:c r="G32" s="19" t="str">
        <x:v>https://www.ombudsman.org.uk/news-and-blog/news/more-action-sepsis-needed-nhs-ombudsman-still-seeing-same-failings-decade</x:v>
      </x:c>
      <x:c r="H32" s="19" t="str">
        <x:v>patient complaint / ombudsman report</x:v>
      </x:c>
      <x:c r="I32" s="19" t="str">
        <x:v>Parliamentary and Health Service Ombudsman</x:v>
      </x:c>
      <x:c r="J32" s="19" t="str">
        <x:v>2023</x:v>
      </x:c>
      <x:c r="K32" s="19" t="str">
        <x:v>2026-05-30</x:v>
      </x:c>
      <x:c r="L32" s="19" t="str">
        <x:v>UK</x:v>
      </x:c>
      <x:c r="M32" s="19" t="str">
        <x:v>hospital / ED / inpatient</x:v>
      </x:c>
      <x:c r="N32" s="19" t="str">
        <x:v>high</x:v>
      </x:c>
      <x:c r="O32" s="19" t="str">
        <x:v>Ombudsman report describing repeated failures in sepsis diagnosis, treatment, communication, and follow-up.</x:v>
      </x:c>
      <x:c r="P32" s="19" t="str">
        <x:v>01_sources/raw_sources/reports/s007_phso_sepsis.md</x:v>
      </x:c>
      <x:c r="Q32" s="19" t="str">
        <x:v>Raw file is a source-summary stub, not a full web capture.</x:v>
      </x:c>
      <x:c r="R32" s="19" t="str">
        <x:v>2026-05-30</x:v>
      </x:c>
    </x:row>
    <x:row r="33">
      <x:c r="A33" s="19" t="str">
        <x:v>research_evidence_package_global_health_issue_identification_2026-05-30.tar.gz</x:v>
      </x:c>
      <x:c r="B33" s="19" t="str">
        <x:v>Research E / global health issue identification</x:v>
      </x:c>
      <x:c r="C33" s="19" t="str">
        <x:v>research_evidence_package_global_health_issue_identification_2026-05-30.tar.gz::S008</x:v>
      </x:c>
      <x:c r="D33" s="19" t="str">
        <x:v>S008</x:v>
      </x:c>
      <x:c r="E33" s="19" t="str">
        <x:v>Research E — Global, cultural, and resource-level comparison of health issue identification workflows</x:v>
      </x:c>
      <x:c r="F33" s="19" t="str">
        <x:v>International Health Care System Profiles: Israel</x:v>
      </x:c>
      <x:c r="G33" s="19" t="str">
        <x:v>https://www.commonwealthfund.org/international-health-policy-center/countries/israel</x:v>
      </x:c>
      <x:c r="H33" s="19" t="str">
        <x:v>health-system profile</x:v>
      </x:c>
      <x:c r="I33" s="19" t="str">
        <x:v>Commonwealth Fund</x:v>
      </x:c>
      <x:c r="J33" s="19" t="str">
        <x:v>unknown</x:v>
      </x:c>
      <x:c r="K33" s="19" t="str">
        <x:v>2026-05-30</x:v>
      </x:c>
      <x:c r="L33" s="19" t="str">
        <x:v>Israel</x:v>
      </x:c>
      <x:c r="M33" s="19" t="str">
        <x:v>primary care / specialist / ED</x:v>
      </x:c>
      <x:c r="N33" s="19" t="str">
        <x:v>high</x:v>
      </x:c>
      <x:c r="O33" s="19" t="str">
        <x:v>Profile of Israel universal health plans, access, referral structure, and care coordination features.</x:v>
      </x:c>
      <x:c r="P33" s="19" t="str">
        <x:v>01_sources/raw_sources/reports/s008_commonwealth_israel.md</x:v>
      </x:c>
      <x:c r="Q33" s="19" t="str">
        <x:v>Raw file is a source-summary stub, not a full web capture.</x:v>
      </x:c>
      <x:c r="R33" s="19" t="str">
        <x:v>2026-05-30</x:v>
      </x:c>
    </x:row>
    <x:row r="34">
      <x:c r="A34" s="19" t="str">
        <x:v>research_evidence_package_global_health_issue_identification_2026-05-30.tar.gz</x:v>
      </x:c>
      <x:c r="B34" s="19" t="str">
        <x:v>Research E / global health issue identification</x:v>
      </x:c>
      <x:c r="C34" s="19" t="str">
        <x:v>research_evidence_package_global_health_issue_identification_2026-05-30.tar.gz::S009</x:v>
      </x:c>
      <x:c r="D34" s="19" t="str">
        <x:v>S009</x:v>
      </x:c>
      <x:c r="E34" s="19" t="str">
        <x:v>Research E — Global, cultural, and resource-level comparison of health issue identification workflows</x:v>
      </x:c>
      <x:c r="F34" s="19" t="str">
        <x:v>Health Systems in Action: Israel 2024</x:v>
      </x:c>
      <x:c r="G34" s="19" t="str">
        <x:v>https://eurohealthobservatory.who.int/publications/i/health-systems-in-action-israel-2024</x:v>
      </x:c>
      <x:c r="H34" s="19" t="str">
        <x:v>health-system report</x:v>
      </x:c>
      <x:c r="I34" s="19" t="str">
        <x:v>European Observatory on Health Systems and Policies</x:v>
      </x:c>
      <x:c r="J34" s="19" t="str">
        <x:v>2024</x:v>
      </x:c>
      <x:c r="K34" s="19" t="str">
        <x:v>2026-05-30</x:v>
      </x:c>
      <x:c r="L34" s="19" t="str">
        <x:v>Israel</x:v>
      </x:c>
      <x:c r="M34" s="19" t="str">
        <x:v>health system / periphery access</x:v>
      </x:c>
      <x:c r="N34" s="19" t="str">
        <x:v>high</x:v>
      </x:c>
      <x:c r="O34" s="19" t="str">
        <x:v>System profile noting regional workforce disparities and other health-system challenges.</x:v>
      </x:c>
      <x:c r="P34" s="19" t="str">
        <x:v>01_sources/raw_sources/reports/s009_israel_hsia.md</x:v>
      </x:c>
      <x:c r="Q34" s="19" t="str">
        <x:v>Raw file is a source-summary stub, not a full web capture.</x:v>
      </x:c>
      <x:c r="R34" s="19" t="str">
        <x:v>2026-05-30</x:v>
      </x:c>
    </x:row>
    <x:row r="35">
      <x:c r="A35" s="19" t="str">
        <x:v>research_evidence_package_global_health_issue_identification_2026-05-30.tar.gz</x:v>
      </x:c>
      <x:c r="B35" s="19" t="str">
        <x:v>Research E / global health issue identification</x:v>
      </x:c>
      <x:c r="C35" s="19" t="str">
        <x:v>research_evidence_package_global_health_issue_identification_2026-05-30.tar.gz::S010</x:v>
      </x:c>
      <x:c r="D35" s="19" t="str">
        <x:v>S010</x:v>
      </x:c>
      <x:c r="E35" s="19" t="str">
        <x:v>Research E — Global, cultural, and resource-level comparison of health issue identification workflows</x:v>
      </x:c>
      <x:c r="F35" s="19" t="str">
        <x:v>Healthcare access and barriers among Bedouin communities in Israel</x:v>
      </x:c>
      <x:c r="G35" s="19" t="str">
        <x:v>https://link.springer.com/article/10.1186/s12939-025-02398-2</x:v>
      </x:c>
      <x:c r="H35" s="19" t="str">
        <x:v>peer-reviewed study</x:v>
      </x:c>
      <x:c r="I35" s="19" t="str">
        <x:v>International Journal for Equity in Health / authors unknown</x:v>
      </x:c>
      <x:c r="J35" s="19" t="str">
        <x:v>2025</x:v>
      </x:c>
      <x:c r="K35" s="19" t="str">
        <x:v>2026-05-30</x:v>
      </x:c>
      <x:c r="L35" s="19" t="str">
        <x:v>Israel / Negev Bedouin</x:v>
      </x:c>
      <x:c r="M35" s="19" t="str">
        <x:v>community / primary care</x:v>
      </x:c>
      <x:c r="N35" s="19" t="str">
        <x:v>medium</x:v>
      </x:c>
      <x:c r="O35" s="19" t="str">
        <x:v>Study of physical access, health-literacy, and out-of-system care barriers among Bedouin communities.</x:v>
      </x:c>
      <x:c r="P35" s="19" t="str">
        <x:v>01_sources/raw_sources/articles/s010_bedouin_healthcare_barriers.md</x:v>
      </x:c>
      <x:c r="Q35" s="19" t="str">
        <x:v>Raw file is a source-summary stub, not a full web capture.</x:v>
      </x:c>
      <x:c r="R35" s="19" t="str">
        <x:v>2026-05-30</x:v>
      </x:c>
    </x:row>
    <x:row r="36">
      <x:c r="A36" s="19" t="str">
        <x:v>research_evidence_package_global_health_issue_identification_2026-05-30.tar.gz</x:v>
      </x:c>
      <x:c r="B36" s="19" t="str">
        <x:v>Research E / global health issue identification</x:v>
      </x:c>
      <x:c r="C36" s="19" t="str">
        <x:v>research_evidence_package_global_health_issue_identification_2026-05-30.tar.gz::S011</x:v>
      </x:c>
      <x:c r="D36" s="19" t="str">
        <x:v>S011</x:v>
      </x:c>
      <x:c r="E36" s="19" t="str">
        <x:v>Research E — Global, cultural, and resource-level comparison of health issue identification workflows</x:v>
      </x:c>
      <x:c r="F36" s="19" t="str">
        <x:v>International Health Care System Profiles: India</x:v>
      </x:c>
      <x:c r="G36" s="19" t="str">
        <x:v>https://www.commonwealthfund.org/taxonomy/term/8</x:v>
      </x:c>
      <x:c r="H36" s="19" t="str">
        <x:v>health-system profile</x:v>
      </x:c>
      <x:c r="I36" s="19" t="str">
        <x:v>Commonwealth Fund</x:v>
      </x:c>
      <x:c r="J36" s="19" t="str">
        <x:v>unknown</x:v>
      </x:c>
      <x:c r="K36" s="19" t="str">
        <x:v>2026-05-30</x:v>
      </x:c>
      <x:c r="L36" s="19" t="str">
        <x:v>India</x:v>
      </x:c>
      <x:c r="M36" s="19" t="str">
        <x:v>public/private primary care / CHC / hospital</x:v>
      </x:c>
      <x:c r="N36" s="19" t="str">
        <x:v>high</x:v>
      </x:c>
      <x:c r="O36" s="19" t="str">
        <x:v>Profile of Indian public, private, AYUSH, informal, and referral structures; notes weak gatekeeping and limited EHR adoption.</x:v>
      </x:c>
      <x:c r="P36" s="19" t="str">
        <x:v>01_sources/raw_sources/reports/s011_commonwealth_india.md</x:v>
      </x:c>
      <x:c r="Q36" s="19" t="str">
        <x:v>Raw file is a source-summary stub, not a full web capture.</x:v>
      </x:c>
      <x:c r="R36" s="19" t="str">
        <x:v>2026-05-30</x:v>
      </x:c>
    </x:row>
    <x:row r="37">
      <x:c r="A37" s="19" t="str">
        <x:v>research_evidence_package_global_health_issue_identification_2026-05-30.tar.gz</x:v>
      </x:c>
      <x:c r="B37" s="19" t="str">
        <x:v>Research E / global health issue identification</x:v>
      </x:c>
      <x:c r="C37" s="19" t="str">
        <x:v>research_evidence_package_global_health_issue_identification_2026-05-30.tar.gz::S012</x:v>
      </x:c>
      <x:c r="D37" s="19" t="str">
        <x:v>S012</x:v>
      </x:c>
      <x:c r="E37" s="19" t="str">
        <x:v>Research E — Global, cultural, and resource-level comparison of health issue identification workflows</x:v>
      </x:c>
      <x:c r="F37" s="19" t="str">
        <x:v>Non-allopathic provider referral intervention for TB diagnosis</x:v>
      </x:c>
      <x:c r="G37" s="19" t="str">
        <x:v>https://journals.plos.org/globalpublichealth/article?id=10.1371%2Fjournal.pgph.0004416</x:v>
      </x:c>
      <x:c r="H37" s="19" t="str">
        <x:v>peer-reviewed intervention study</x:v>
      </x:c>
      <x:c r="I37" s="19" t="str">
        <x:v>PLOS Global Public Health / authors unknown</x:v>
      </x:c>
      <x:c r="J37" s="19" t="str">
        <x:v>2026</x:v>
      </x:c>
      <x:c r="K37" s="19" t="str">
        <x:v>2026-05-30</x:v>
      </x:c>
      <x:c r="L37" s="19" t="str">
        <x:v>India</x:v>
      </x:c>
      <x:c r="M37" s="19" t="str">
        <x:v>community / informal / TB diagnostic pathway</x:v>
      </x:c>
      <x:c r="N37" s="19" t="str">
        <x:v>high</x:v>
      </x:c>
      <x:c r="O37" s="19" t="str">
        <x:v>Referral and free chest-x-ray intervention involving non-allopathic providers reduced TB diagnostic delay by 8.6 days.</x:v>
      </x:c>
      <x:c r="P37" s="19" t="str">
        <x:v>01_sources/raw_sources/articles/s012_india_tb_referral.md</x:v>
      </x:c>
      <x:c r="Q37" s="19" t="str">
        <x:v>Raw file is a source-summary stub, not a full web capture.</x:v>
      </x:c>
      <x:c r="R37" s="19" t="str">
        <x:v>2026-05-30</x:v>
      </x:c>
    </x:row>
    <x:row r="38">
      <x:c r="A38" s="19" t="str">
        <x:v>research_evidence_package_global_health_issue_identification_2026-05-30.tar.gz</x:v>
      </x:c>
      <x:c r="B38" s="19" t="str">
        <x:v>Research E / global health issue identification</x:v>
      </x:c>
      <x:c r="C38" s="19" t="str">
        <x:v>research_evidence_package_global_health_issue_identification_2026-05-30.tar.gz::S013</x:v>
      </x:c>
      <x:c r="D38" s="19" t="str">
        <x:v>S013</x:v>
      </x:c>
      <x:c r="E38" s="19" t="str">
        <x:v>Research E — Global, cultural, and resource-level comparison of health issue identification workflows</x:v>
      </x:c>
      <x:c r="F38" s="19" t="str">
        <x:v>Early cancer detection barriers involving community health workers in rural India</x:v>
      </x:c>
      <x:c r="G38" s="19" t="str">
        <x:v>https://link.springer.com/article/10.1186/s12889-025-22735-y</x:v>
      </x:c>
      <x:c r="H38" s="19" t="str">
        <x:v>peer-reviewed qualitative study/review</x:v>
      </x:c>
      <x:c r="I38" s="19" t="str">
        <x:v>BMC Public Health / authors unknown</x:v>
      </x:c>
      <x:c r="J38" s="19" t="str">
        <x:v>2025</x:v>
      </x:c>
      <x:c r="K38" s="19" t="str">
        <x:v>2026-05-30</x:v>
      </x:c>
      <x:c r="L38" s="19" t="str">
        <x:v>India</x:v>
      </x:c>
      <x:c r="M38" s="19" t="str">
        <x:v>rural community health</x:v>
      </x:c>
      <x:c r="N38" s="19" t="str">
        <x:v>medium</x:v>
      </x:c>
      <x:c r="O38" s="19" t="str">
        <x:v>CHWs can bridge cancer awareness and referral gaps but face training, infrastructure, finance, stigma, and support barriers.</x:v>
      </x:c>
      <x:c r="P38" s="19" t="str">
        <x:v>01_sources/raw_sources/articles/s013_india_chw_cancer.md</x:v>
      </x:c>
      <x:c r="Q38" s="19" t="str">
        <x:v>Raw file is a source-summary stub, not a full web capture.</x:v>
      </x:c>
      <x:c r="R38" s="19" t="str">
        <x:v>2026-05-30</x:v>
      </x:c>
    </x:row>
    <x:row r="39">
      <x:c r="A39" s="19" t="str">
        <x:v>research_evidence_package_global_health_issue_identification_2026-05-30.tar.gz</x:v>
      </x:c>
      <x:c r="B39" s="19" t="str">
        <x:v>Research E / global health issue identification</x:v>
      </x:c>
      <x:c r="C39" s="19" t="str">
        <x:v>research_evidence_package_global_health_issue_identification_2026-05-30.tar.gz::S014</x:v>
      </x:c>
      <x:c r="D39" s="19" t="str">
        <x:v>S014</x:v>
      </x:c>
      <x:c r="E39" s="19" t="str">
        <x:v>Research E — Global, cultural, and resource-level comparison of health issue identification workflows</x:v>
      </x:c>
      <x:c r="F39" s="19" t="str">
        <x:v>International Health Care System Profiles: China</x:v>
      </x:c>
      <x:c r="G39" s="19" t="str">
        <x:v>https://www.commonwealthfund.org/taxonomy/term/3</x:v>
      </x:c>
      <x:c r="H39" s="19" t="str">
        <x:v>health-system profile</x:v>
      </x:c>
      <x:c r="I39" s="19" t="str">
        <x:v>Commonwealth Fund</x:v>
      </x:c>
      <x:c r="J39" s="19" t="str">
        <x:v>unknown</x:v>
      </x:c>
      <x:c r="K39" s="19" t="str">
        <x:v>2026-05-30</x:v>
      </x:c>
      <x:c r="L39" s="19" t="str">
        <x:v>China</x:v>
      </x:c>
      <x:c r="M39" s="19" t="str">
        <x:v>village clinic / hospital outpatient / ED</x:v>
      </x:c>
      <x:c r="N39" s="19" t="str">
        <x:v>high</x:v>
      </x:c>
      <x:c r="O39" s="19" t="str">
        <x:v>Profile of open-access care, village doctors, hospital use, and ED information not routinely sent to primary doctors.</x:v>
      </x:c>
      <x:c r="P39" s="19" t="str">
        <x:v>01_sources/raw_sources/reports/s014_commonwealth_china.md</x:v>
      </x:c>
      <x:c r="Q39" s="19" t="str">
        <x:v>Raw file is a source-summary stub, not a full web capture.</x:v>
      </x:c>
      <x:c r="R39" s="19" t="str">
        <x:v>2026-05-30</x:v>
      </x:c>
    </x:row>
    <x:row r="40">
      <x:c r="A40" s="19" t="str">
        <x:v>research_evidence_package_global_health_issue_identification_2026-05-30.tar.gz</x:v>
      </x:c>
      <x:c r="B40" s="19" t="str">
        <x:v>Research E / global health issue identification</x:v>
      </x:c>
      <x:c r="C40" s="19" t="str">
        <x:v>research_evidence_package_global_health_issue_identification_2026-05-30.tar.gz::S015</x:v>
      </x:c>
      <x:c r="D40" s="19" t="str">
        <x:v>S015</x:v>
      </x:c>
      <x:c r="E40" s="19" t="str">
        <x:v>Research E — Global, cultural, and resource-level comparison of health issue identification workflows</x:v>
      </x:c>
      <x:c r="F40" s="19" t="str">
        <x:v>International Health Care System Profiles: Japan</x:v>
      </x:c>
      <x:c r="G40" s="19" t="str">
        <x:v>https://www.commonwealthfund.org/taxonomy/term/11</x:v>
      </x:c>
      <x:c r="H40" s="19" t="str">
        <x:v>health-system profile</x:v>
      </x:c>
      <x:c r="I40" s="19" t="str">
        <x:v>Commonwealth Fund</x:v>
      </x:c>
      <x:c r="J40" s="19" t="str">
        <x:v>unknown</x:v>
      </x:c>
      <x:c r="K40" s="19" t="str">
        <x:v>2026-05-30</x:v>
      </x:c>
      <x:c r="L40" s="19" t="str">
        <x:v>Japan</x:v>
      </x:c>
      <x:c r="M40" s="19" t="str">
        <x:v>clinic / hospital outpatient / ED</x:v>
      </x:c>
      <x:c r="N40" s="19" t="str">
        <x:v>high</x:v>
      </x:c>
      <x:c r="O40" s="19" t="str">
        <x:v>Profile of Japan health system with no strict gatekeeping and substantial direct access.</x:v>
      </x:c>
      <x:c r="P40" s="19" t="str">
        <x:v>01_sources/raw_sources/reports/s015_commonwealth_japan.md</x:v>
      </x:c>
      <x:c r="Q40" s="19" t="str">
        <x:v>Raw file is a source-summary stub, not a full web capture.</x:v>
      </x:c>
      <x:c r="R40" s="19" t="str">
        <x:v>2026-05-30</x:v>
      </x:c>
    </x:row>
    <x:row r="41">
      <x:c r="A41" s="19" t="str">
        <x:v>research_evidence_package_global_health_issue_identification_2026-05-30.tar.gz</x:v>
      </x:c>
      <x:c r="B41" s="19" t="str">
        <x:v>Research E / global health issue identification</x:v>
      </x:c>
      <x:c r="C41" s="19" t="str">
        <x:v>research_evidence_package_global_health_issue_identification_2026-05-30.tar.gz::S016</x:v>
      </x:c>
      <x:c r="D41" s="19" t="str">
        <x:v>S016</x:v>
      </x:c>
      <x:c r="E41" s="19" t="str">
        <x:v>Research E — Global, cultural, and resource-level comparison of health issue identification workflows</x:v>
      </x:c>
      <x:c r="F41" s="19" t="str">
        <x:v>International Health Care System Profiles: Taiwan</x:v>
      </x:c>
      <x:c r="G41" s="19" t="str">
        <x:v>https://www.commonwealthfund.org/taxonomy/term/18</x:v>
      </x:c>
      <x:c r="H41" s="19" t="str">
        <x:v>health-system profile</x:v>
      </x:c>
      <x:c r="I41" s="19" t="str">
        <x:v>Commonwealth Fund</x:v>
      </x:c>
      <x:c r="J41" s="19" t="str">
        <x:v>unknown</x:v>
      </x:c>
      <x:c r="K41" s="19" t="str">
        <x:v>2026-05-30</x:v>
      </x:c>
      <x:c r="L41" s="19" t="str">
        <x:v>Taiwan</x:v>
      </x:c>
      <x:c r="M41" s="19" t="str">
        <x:v>clinic / hospital outpatient / ED</x:v>
      </x:c>
      <x:c r="N41" s="19" t="str">
        <x:v>high</x:v>
      </x:c>
      <x:c r="O41" s="19" t="str">
        <x:v>Profile of Taiwan health system with no strict gatekeeping and patient choice of doctors.</x:v>
      </x:c>
      <x:c r="P41" s="19" t="str">
        <x:v>01_sources/raw_sources/reports/s016_commonwealth_taiwan.md</x:v>
      </x:c>
      <x:c r="Q41" s="19" t="str">
        <x:v>Raw file is a source-summary stub, not a full web capture.</x:v>
      </x:c>
      <x:c r="R41" s="19" t="str">
        <x:v>2026-05-30</x:v>
      </x:c>
    </x:row>
    <x:row r="42">
      <x:c r="A42" s="19" t="str">
        <x:v>research_evidence_package_global_health_issue_identification_2026-05-30.tar.gz</x:v>
      </x:c>
      <x:c r="B42" s="19" t="str">
        <x:v>Research E / global health issue identification</x:v>
      </x:c>
      <x:c r="C42" s="19" t="str">
        <x:v>research_evidence_package_global_health_issue_identification_2026-05-30.tar.gz::S017</x:v>
      </x:c>
      <x:c r="D42" s="19" t="str">
        <x:v>S017</x:v>
      </x:c>
      <x:c r="E42" s="19" t="str">
        <x:v>Research E — Global, cultural, and resource-level comparison of health issue identification workflows</x:v>
      </x:c>
      <x:c r="F42" s="19" t="str">
        <x:v>International Health Care System Profiles: Brazil</x:v>
      </x:c>
      <x:c r="G42" s="19" t="str">
        <x:v>https://www.commonwealthfund.org/taxonomy/term/5436</x:v>
      </x:c>
      <x:c r="H42" s="19" t="str">
        <x:v>health-system profile</x:v>
      </x:c>
      <x:c r="I42" s="19" t="str">
        <x:v>Commonwealth Fund</x:v>
      </x:c>
      <x:c r="J42" s="19" t="str">
        <x:v>unknown</x:v>
      </x:c>
      <x:c r="K42" s="19" t="str">
        <x:v>2026-05-30</x:v>
      </x:c>
      <x:c r="L42" s="19" t="str">
        <x:v>Brazil</x:v>
      </x:c>
      <x:c r="M42" s="19" t="str">
        <x:v>community health center / primary care / referral</x:v>
      </x:c>
      <x:c r="N42" s="19" t="str">
        <x:v>high</x:v>
      </x:c>
      <x:c r="O42" s="19" t="str">
        <x:v>Profile of SUS and Family Health Strategy; notes specialty access bottlenecks and diagnostic delays.</x:v>
      </x:c>
      <x:c r="P42" s="19" t="str">
        <x:v>01_sources/raw_sources/reports/s017_commonwealth_brazil.md</x:v>
      </x:c>
      <x:c r="Q42" s="19" t="str">
        <x:v>Raw file is a source-summary stub, not a full web capture.</x:v>
      </x:c>
      <x:c r="R42" s="19" t="str">
        <x:v>2026-05-30</x:v>
      </x:c>
    </x:row>
    <x:row r="43">
      <x:c r="A43" s="19" t="str">
        <x:v>research_evidence_package_global_health_issue_identification_2026-05-30.tar.gz</x:v>
      </x:c>
      <x:c r="B43" s="19" t="str">
        <x:v>Research E / global health issue identification</x:v>
      </x:c>
      <x:c r="C43" s="19" t="str">
        <x:v>research_evidence_package_global_health_issue_identification_2026-05-30.tar.gz::S018</x:v>
      </x:c>
      <x:c r="D43" s="19" t="str">
        <x:v>S018</x:v>
      </x:c>
      <x:c r="E43" s="19" t="str">
        <x:v>Research E — Global, cultural, and resource-level comparison of health issue identification workflows</x:v>
      </x:c>
      <x:c r="F43" s="19" t="str">
        <x:v>Health Systems in Action: Mexico 2024</x:v>
      </x:c>
      <x:c r="G43" s="19" t="str">
        <x:v>https://eurohealthobservatory.who.int/publications/i/health-systems-in-action-2024-mexico</x:v>
      </x:c>
      <x:c r="H43" s="19" t="str">
        <x:v>health-system report</x:v>
      </x:c>
      <x:c r="I43" s="19" t="str">
        <x:v>European Observatory on Health Systems and Policies</x:v>
      </x:c>
      <x:c r="J43" s="19" t="str">
        <x:v>2024</x:v>
      </x:c>
      <x:c r="K43" s="19" t="str">
        <x:v>2026-05-30</x:v>
      </x:c>
      <x:c r="L43" s="19" t="str">
        <x:v>Mexico</x:v>
      </x:c>
      <x:c r="M43" s="19" t="str">
        <x:v>public/private outpatient / hospital</x:v>
      </x:c>
      <x:c r="N43" s="19" t="str">
        <x:v>high</x:v>
      </x:c>
      <x:c r="O43" s="19" t="str">
        <x:v>Profile describing segmentation, public/private fragmentation, and outpatient private-sector integration problems.</x:v>
      </x:c>
      <x:c r="P43" s="19" t="str">
        <x:v>01_sources/raw_sources/reports/s018_mexico_hsia.md</x:v>
      </x:c>
      <x:c r="Q43" s="19" t="str">
        <x:v>Raw file is a source-summary stub, not a full web capture.</x:v>
      </x:c>
      <x:c r="R43" s="19" t="str">
        <x:v>2026-05-30</x:v>
      </x:c>
    </x:row>
    <x:row r="44">
      <x:c r="A44" s="19" t="str">
        <x:v>research_evidence_package_global_health_issue_identification_2026-05-30.tar.gz</x:v>
      </x:c>
      <x:c r="B44" s="19" t="str">
        <x:v>Research E / global health issue identification</x:v>
      </x:c>
      <x:c r="C44" s="19" t="str">
        <x:v>research_evidence_package_global_health_issue_identification_2026-05-30.tar.gz::S019</x:v>
      </x:c>
      <x:c r="D44" s="19" t="str">
        <x:v>S019</x:v>
      </x:c>
      <x:c r="E44" s="19" t="str">
        <x:v>Research E — Global, cultural, and resource-level comparison of health issue identification workflows</x:v>
      </x:c>
      <x:c r="F44" s="19" t="str">
        <x:v>Lives and economies at risk from weak primary health care in Latin America and Caribbean</x:v>
      </x:c>
      <x:c r="G44" s="19" t="str">
        <x:v>https://www.paho.org/en/news/29-9-2025-lives-and-economies-risk-weak-primary-health-care-latin-america-and-caribbean-world</x:v>
      </x:c>
      <x:c r="H44" s="19" t="str">
        <x:v>regional health-system report/news</x:v>
      </x:c>
      <x:c r="I44" s="19" t="str">
        <x:v>PAHO / World Bank</x:v>
      </x:c>
      <x:c r="J44" s="19" t="str">
        <x:v>2025</x:v>
      </x:c>
      <x:c r="K44" s="19" t="str">
        <x:v>2026-05-30</x:v>
      </x:c>
      <x:c r="L44" s="19" t="str">
        <x:v>Latin America and Caribbean</x:v>
      </x:c>
      <x:c r="M44" s="19" t="str">
        <x:v>primary care / public health</x:v>
      </x:c>
      <x:c r="N44" s="19" t="str">
        <x:v>high</x:v>
      </x:c>
      <x:c r="O44" s="19" t="str">
        <x:v>Regional report describing hospital-centered, fragmented, and underinvested primary care systems.</x:v>
      </x:c>
      <x:c r="P44" s="19" t="str">
        <x:v>01_sources/raw_sources/reports/s019_paho_lac_phc.md</x:v>
      </x:c>
      <x:c r="Q44" s="19" t="str">
        <x:v>Raw file is a source-summary stub, not a full web capture.</x:v>
      </x:c>
      <x:c r="R44" s="19" t="str">
        <x:v>2026-05-30</x:v>
      </x:c>
    </x:row>
    <x:row r="45">
      <x:c r="A45" s="19" t="str">
        <x:v>research_evidence_package_global_health_issue_identification_2026-05-30.tar.gz</x:v>
      </x:c>
      <x:c r="B45" s="19" t="str">
        <x:v>Research E / global health issue identification</x:v>
      </x:c>
      <x:c r="C45" s="19" t="str">
        <x:v>research_evidence_package_global_health_issue_identification_2026-05-30.tar.gz::S020</x:v>
      </x:c>
      <x:c r="D45" s="19" t="str">
        <x:v>S020</x:v>
      </x:c>
      <x:c r="E45" s="19" t="str">
        <x:v>Research E — Global, cultural, and resource-level comparison of health issue identification workflows</x:v>
      </x:c>
      <x:c r="F45" s="19" t="str">
        <x:v>Patients’ pathways to cancer diagnosis and treatment in Tanzania</x:v>
      </x:c>
      <x:c r="G45" s="19" t="str">
        <x:v>https://link.springer.com/article/10.1186/s12913-021-07438-5</x:v>
      </x:c>
      <x:c r="H45" s="19" t="str">
        <x:v>peer-reviewed qualitative study</x:v>
      </x:c>
      <x:c r="I45" s="19" t="str">
        <x:v>BMC Health Services Research / authors unknown</x:v>
      </x:c>
      <x:c r="J45" s="19" t="str">
        <x:v>2022</x:v>
      </x:c>
      <x:c r="K45" s="19" t="str">
        <x:v>2026-05-30</x:v>
      </x:c>
      <x:c r="L45" s="19" t="str">
        <x:v>Tanzania</x:v>
      </x:c>
      <x:c r="M45" s="19" t="str">
        <x:v>rural/urban clinics, hospitals, national referral cancer care</x:v>
      </x:c>
      <x:c r="N45" s="19" t="str">
        <x:v>high</x:v>
      </x:c>
      <x:c r="O45" s="19" t="str">
        <x:v>Cancer pathway study finding median 358-day delay from symptom onset to diagnosis and major diagnostic-capacity barriers.</x:v>
      </x:c>
      <x:c r="P45" s="19" t="str">
        <x:v>01_sources/raw_sources/articles/s020_tanzania_cancer_pathway.md</x:v>
      </x:c>
      <x:c r="Q45" s="19" t="str">
        <x:v>Raw file is a source-summary stub, not a full web capture.</x:v>
      </x:c>
      <x:c r="R45" s="19" t="str">
        <x:v>2026-05-30</x:v>
      </x:c>
    </x:row>
    <x:row r="46">
      <x:c r="A46" s="19" t="str">
        <x:v>research_evidence_package_global_health_issue_identification_2026-05-30.tar.gz</x:v>
      </x:c>
      <x:c r="B46" s="19" t="str">
        <x:v>Research E / global health issue identification</x:v>
      </x:c>
      <x:c r="C46" s="19" t="str">
        <x:v>research_evidence_package_global_health_issue_identification_2026-05-30.tar.gz::S021</x:v>
      </x:c>
      <x:c r="D46" s="19" t="str">
        <x:v>S021</x:v>
      </x:c>
      <x:c r="E46" s="19" t="str">
        <x:v>Research E — Global, cultural, and resource-level comparison of health issue identification workflows</x:v>
      </x:c>
      <x:c r="F46" s="19" t="str">
        <x:v>WHO RAcE / iCCM programme</x:v>
      </x:c>
      <x:c r="G46" s="19" t="str">
        <x:v>https://www.who.int/teams/global-malaria-programme/case-management/community-based-case-management-race-programme</x:v>
      </x:c>
      <x:c r="H46" s="19" t="str">
        <x:v>WHO programme report</x:v>
      </x:c>
      <x:c r="I46" s="19" t="str">
        <x:v>WHO</x:v>
      </x:c>
      <x:c r="J46" s="19" t="str">
        <x:v>unknown</x:v>
      </x:c>
      <x:c r="K46" s="19" t="str">
        <x:v>2026-05-30</x:v>
      </x:c>
      <x:c r="L46" s="19" t="str">
        <x:v>DRC, Malawi, Mozambique, Niger, Nigeria</x:v>
      </x:c>
      <x:c r="M46" s="19" t="str">
        <x:v>community health / CHW</x:v>
      </x:c>
      <x:c r="N46" s="19" t="str">
        <x:v>high</x:v>
      </x:c>
      <x:c r="O46" s="19" t="str">
        <x:v>Programme trained CHWs to diagnose, treat, and refer childhood malaria, pneumonia, and diarrhea.</x:v>
      </x:c>
      <x:c r="P46" s="19" t="str">
        <x:v>01_sources/raw_sources/reports/s021_who_race_iccm.md</x:v>
      </x:c>
      <x:c r="Q46" s="19" t="str">
        <x:v>Raw file is a source-summary stub, not a full web capture.</x:v>
      </x:c>
      <x:c r="R46" s="19" t="str">
        <x:v>2026-05-30</x:v>
      </x:c>
    </x:row>
    <x:row r="47">
      <x:c r="A47" s="19" t="str">
        <x:v>research_evidence_package_global_health_issue_identification_2026-05-30.tar.gz</x:v>
      </x:c>
      <x:c r="B47" s="19" t="str">
        <x:v>Research E / global health issue identification</x:v>
      </x:c>
      <x:c r="C47" s="19" t="str">
        <x:v>research_evidence_package_global_health_issue_identification_2026-05-30.tar.gz::S022</x:v>
      </x:c>
      <x:c r="D47" s="19" t="str">
        <x:v>S022</x:v>
      </x:c>
      <x:c r="E47" s="19" t="str">
        <x:v>Research E — Global, cultural, and resource-level comparison of health issue identification workflows</x:v>
      </x:c>
      <x:c r="F47" s="19" t="str">
        <x:v>WHO Europe refugee and migrant health</x:v>
      </x:c>
      <x:c r="G47" s="19" t="str">
        <x:v>https://www.who.int/europe/health-topics/refugee-and-migrant-health</x:v>
      </x:c>
      <x:c r="H47" s="19" t="str">
        <x:v>WHO regional topic/report page</x:v>
      </x:c>
      <x:c r="I47" s="19" t="str">
        <x:v>WHO Europe</x:v>
      </x:c>
      <x:c r="J47" s="19" t="str">
        <x:v>unknown</x:v>
      </x:c>
      <x:c r="K47" s="19" t="str">
        <x:v>2026-05-30</x:v>
      </x:c>
      <x:c r="L47" s="19" t="str">
        <x:v>Europe</x:v>
      </x:c>
      <x:c r="M47" s="19" t="str">
        <x:v>migrant/refugee primary care / public health / ED</x:v>
      </x:c>
      <x:c r="N47" s="19" t="str">
        <x:v>high</x:v>
      </x:c>
      <x:c r="O47" s="19" t="str">
        <x:v>WHO Europe summary of migrant/refugee health barriers, including entitlements, interpreters, discrimination, and living conditions.</x:v>
      </x:c>
      <x:c r="P47" s="19" t="str">
        <x:v>01_sources/raw_sources/reports/s022_who_europe_migrant_health.md</x:v>
      </x:c>
      <x:c r="Q47" s="19" t="str">
        <x:v>Raw file is a source-summary stub, not a full web capture.</x:v>
      </x:c>
      <x:c r="R47" s="19" t="str">
        <x:v>2026-05-30</x:v>
      </x:c>
    </x:row>
    <x:row r="48">
      <x:c r="A48" s="19" t="str">
        <x:v>research_evidence_package_global_health_issue_identification_2026-05-30.tar.gz</x:v>
      </x:c>
      <x:c r="B48" s="19" t="str">
        <x:v>Research E / global health issue identification</x:v>
      </x:c>
      <x:c r="C48" s="19" t="str">
        <x:v>research_evidence_package_global_health_issue_identification_2026-05-30.tar.gz::S023</x:v>
      </x:c>
      <x:c r="D48" s="19" t="str">
        <x:v>S023</x:v>
      </x:c>
      <x:c r="E48" s="19" t="str">
        <x:v>Research E — Global, cultural, and resource-level comparison of health issue identification workflows</x:v>
      </x:c>
      <x:c r="F48" s="19" t="str">
        <x:v>Improvement framework: community language translation and interpreting services</x:v>
      </x:c>
      <x:c r="G48" s="19" t="str">
        <x:v>https://www.england.nhs.uk/long-read/improvement-framework-community-language-translation-and-interpreting-services/</x:v>
      </x:c>
      <x:c r="H48" s="19" t="str">
        <x:v>clinical service framework</x:v>
      </x:c>
      <x:c r="I48" s="19" t="str">
        <x:v>NHS England</x:v>
      </x:c>
      <x:c r="J48" s="19" t="str">
        <x:v>2025</x:v>
      </x:c>
      <x:c r="K48" s="19" t="str">
        <x:v>2026-05-30</x:v>
      </x:c>
      <x:c r="L48" s="19" t="str">
        <x:v>England</x:v>
      </x:c>
      <x:c r="M48" s="19" t="str">
        <x:v>all NHS settings</x:v>
      </x:c>
      <x:c r="N48" s="19" t="str">
        <x:v>high</x:v>
      </x:c>
      <x:c r="O48" s="19" t="str">
        <x:v>Framework describing limited-English communication barriers and need for interpreting/translation across care.</x:v>
      </x:c>
      <x:c r="P48" s="19" t="str">
        <x:v>01_sources/raw_sources/guidelines/s023_nhs_interpreting_framework.md</x:v>
      </x:c>
      <x:c r="Q48" s="19" t="str">
        <x:v>Raw file is a source-summary stub, not a full web capture.</x:v>
      </x:c>
      <x:c r="R48" s="19" t="str">
        <x:v>2026-05-30</x:v>
      </x:c>
    </x:row>
    <x:row r="49">
      <x:c r="A49" s="19" t="str">
        <x:v>research_evidence_package_global_health_issue_identification_2026-05-30.tar.gz</x:v>
      </x:c>
      <x:c r="B49" s="19" t="str">
        <x:v>Research E / global health issue identification</x:v>
      </x:c>
      <x:c r="C49" s="19" t="str">
        <x:v>research_evidence_package_global_health_issue_identification_2026-05-30.tar.gz::S024</x:v>
      </x:c>
      <x:c r="D49" s="19" t="str">
        <x:v>S024</x:v>
      </x:c>
      <x:c r="E49" s="19" t="str">
        <x:v>Research E — Global, cultural, and resource-level comparison of health issue identification workflows</x:v>
      </x:c>
      <x:c r="F49" s="19" t="str">
        <x:v>Language interpretation: migrant health guide</x:v>
      </x:c>
      <x:c r="G49" s="19" t="str">
        <x:v>https://www.gov.uk/guidance/language-interpretation-migrant-health-guide</x:v>
      </x:c>
      <x:c r="H49" s="19" t="str">
        <x:v>government guidance</x:v>
      </x:c>
      <x:c r="I49" s="19" t="str">
        <x:v>GOV.UK / Office for Health Improvement and Disparities</x:v>
      </x:c>
      <x:c r="J49" s="19" t="str">
        <x:v>unknown</x:v>
      </x:c>
      <x:c r="K49" s="19" t="str">
        <x:v>2026-05-30</x:v>
      </x:c>
      <x:c r="L49" s="19" t="str">
        <x:v>UK</x:v>
      </x:c>
      <x:c r="M49" s="19" t="str">
        <x:v>migrant health / all settings</x:v>
      </x:c>
      <x:c r="N49" s="19" t="str">
        <x:v>high</x:v>
      </x:c>
      <x:c r="O49" s="19" t="str">
        <x:v>Guidance on interpreter use and risks of relying on family/friends or conversational fluency for health information.</x:v>
      </x:c>
      <x:c r="P49" s="19" t="str">
        <x:v>01_sources/raw_sources/guidelines/s024_govuk_language_interpretation.md</x:v>
      </x:c>
      <x:c r="Q49" s="19" t="str">
        <x:v>Raw file is a source-summary stub, not a full web capture.</x:v>
      </x:c>
      <x:c r="R49" s="19" t="str">
        <x:v>2026-05-30</x:v>
      </x:c>
    </x:row>
    <x:row r="50">
      <x:c r="A50" s="19" t="str">
        <x:v>research_evidence_package_global_health_issue_identification_2026-05-30.tar.gz</x:v>
      </x:c>
      <x:c r="B50" s="19" t="str">
        <x:v>Research E / global health issue identification</x:v>
      </x:c>
      <x:c r="C50" s="19" t="str">
        <x:v>research_evidence_package_global_health_issue_identification_2026-05-30.tar.gz::S025</x:v>
      </x:c>
      <x:c r="D50" s="19" t="str">
        <x:v>S025</x:v>
      </x:c>
      <x:c r="E50" s="19" t="str">
        <x:v>Research E — Global, cultural, and resource-level comparison of health issue identification workflows</x:v>
      </x:c>
      <x:c r="F50" s="19" t="str">
        <x:v>Health Catch-UP migrant screening tool</x:v>
      </x:c>
      <x:c r="G50" s="19" t="str">
        <x:v>https://link.springer.com/article/10.1186/s12916-024-03713-4</x:v>
      </x:c>
      <x:c r="H50" s="19" t="str">
        <x:v>peer-reviewed implementation study</x:v>
      </x:c>
      <x:c r="I50" s="19" t="str">
        <x:v>BMC Medicine / authors unknown</x:v>
      </x:c>
      <x:c r="J50" s="19" t="str">
        <x:v>2024</x:v>
      </x:c>
      <x:c r="K50" s="19" t="str">
        <x:v>2026-05-30</x:v>
      </x:c>
      <x:c r="L50" s="19" t="str">
        <x:v>UK</x:v>
      </x:c>
      <x:c r="M50" s="19" t="str">
        <x:v>migrant/refugee primary care screening</x:v>
      </x:c>
      <x:c r="N50" s="19" t="str">
        <x:v>medium</x:v>
      </x:c>
      <x:c r="O50" s="19" t="str">
        <x:v>EHR-integrated migrant screening tool found new conditions and missing immunization records.</x:v>
      </x:c>
      <x:c r="P50" s="19" t="str">
        <x:v>01_sources/raw_sources/articles/s025_health_catchup.md</x:v>
      </x:c>
      <x:c r="Q50" s="19" t="str">
        <x:v>Raw file is a source-summary stub, not a full web capture.</x:v>
      </x:c>
      <x:c r="R50" s="19" t="str">
        <x:v>2026-05-30</x:v>
      </x:c>
    </x:row>
    <x:row r="51">
      <x:c r="A51" s="19" t="str">
        <x:v>research_evidence_package_global_health_issue_identification_2026-05-30.tar.gz</x:v>
      </x:c>
      <x:c r="B51" s="19" t="str">
        <x:v>Research E / global health issue identification</x:v>
      </x:c>
      <x:c r="C51" s="19" t="str">
        <x:v>research_evidence_package_global_health_issue_identification_2026-05-30.tar.gz::S026</x:v>
      </x:c>
      <x:c r="D51" s="19" t="str">
        <x:v>S026</x:v>
      </x:c>
      <x:c r="E51" s="19" t="str">
        <x:v>Research E — Global, cultural, and resource-level comparison of health issue identification workflows</x:v>
      </x:c>
      <x:c r="F51" s="19" t="str">
        <x:v>When health care harms: Addressing Indigenous-specific racism in Canada</x:v>
      </x:c>
      <x:c r="G51" s="19" t="str">
        <x:v>https://www.cpha.ca/when-health-care-harms-addressing-indigenous-specific-racism-canada</x:v>
      </x:c>
      <x:c r="H51" s="19" t="str">
        <x:v>public-health commentary/report</x:v>
      </x:c>
      <x:c r="I51" s="19" t="str">
        <x:v>Canadian Public Health Association</x:v>
      </x:c>
      <x:c r="J51" s="19" t="str">
        <x:v>2025</x:v>
      </x:c>
      <x:c r="K51" s="19" t="str">
        <x:v>2026-05-30</x:v>
      </x:c>
      <x:c r="L51" s="19" t="str">
        <x:v>Canada</x:v>
      </x:c>
      <x:c r="M51" s="19" t="str">
        <x:v>ED / hospital / primary care</x:v>
      </x:c>
      <x:c r="N51" s="19" t="str">
        <x:v>medium</x:v>
      </x:c>
      <x:c r="O51" s="19" t="str">
        <x:v>Commentary on Indigenous-specific racism in health care, including Brian Sinclair case and symptom-dismissal patterns.</x:v>
      </x:c>
      <x:c r="P51" s="19" t="str">
        <x:v>01_sources/raw_sources/reports/s026_cpha_indigenous_racism.md</x:v>
      </x:c>
      <x:c r="Q51" s="19" t="str">
        <x:v>Raw file is a source-summary stub, not a full web capture.</x:v>
      </x:c>
      <x:c r="R51" s="19" t="str">
        <x:v>2026-05-30</x:v>
      </x:c>
    </x:row>
    <x:row r="52">
      <x:c r="A52" s="19" t="str">
        <x:v>research_evidence_package_global_health_issue_identification_2026-05-30.tar.gz</x:v>
      </x:c>
      <x:c r="B52" s="19" t="str">
        <x:v>Research E / global health issue identification</x:v>
      </x:c>
      <x:c r="C52" s="19" t="str">
        <x:v>research_evidence_package_global_health_issue_identification_2026-05-30.tar.gz::S027</x:v>
      </x:c>
      <x:c r="D52" s="19" t="str">
        <x:v>S027</x:v>
      </x:c>
      <x:c r="E52" s="19" t="str">
        <x:v>Research E — Global, cultural, and resource-level comparison of health issue identification workflows</x:v>
      </x:c>
      <x:c r="F52" s="19" t="str">
        <x:v>Cultural safety in health care for Indigenous Australians: monitoring framework</x:v>
      </x:c>
      <x:c r="G52" s="19" t="str">
        <x:v>https://www.aihw.gov.au/reports/indigenous-australians/cultural-safety-health-care-framework/contents/summary</x:v>
      </x:c>
      <x:c r="H52" s="19" t="str">
        <x:v>national health-data report</x:v>
      </x:c>
      <x:c r="I52" s="19" t="str">
        <x:v>Australian Institute of Health and Welfare</x:v>
      </x:c>
      <x:c r="J52" s="19" t="str">
        <x:v>unknown</x:v>
      </x:c>
      <x:c r="K52" s="19" t="str">
        <x:v>2026-05-30</x:v>
      </x:c>
      <x:c r="L52" s="19" t="str">
        <x:v>Australia</x:v>
      </x:c>
      <x:c r="M52" s="19" t="str">
        <x:v>primary care / hospital / ED</x:v>
      </x:c>
      <x:c r="N52" s="19" t="str">
        <x:v>high</x:v>
      </x:c>
      <x:c r="O52" s="19" t="str">
        <x:v>Framework/report showing cultural safety affects access and quality; includes cultural reasons for not accessing needed care.</x:v>
      </x:c>
      <x:c r="P52" s="19" t="str">
        <x:v>01_sources/raw_sources/reports/s027_aihw_cultural_safety.md</x:v>
      </x:c>
      <x:c r="Q52" s="19" t="str">
        <x:v>Raw file is a source-summary stub, not a full web capture.</x:v>
      </x:c>
      <x:c r="R52" s="19" t="str">
        <x:v>2026-05-30</x:v>
      </x:c>
    </x:row>
    <x:row r="53">
      <x:c r="A53" s="19" t="str">
        <x:v>research_evidence_package_global_health_issue_identification_2026-05-30.tar.gz</x:v>
      </x:c>
      <x:c r="B53" s="19" t="str">
        <x:v>Research E / global health issue identification</x:v>
      </x:c>
      <x:c r="C53" s="19" t="str">
        <x:v>research_evidence_package_global_health_issue_identification_2026-05-30.tar.gz::S028</x:v>
      </x:c>
      <x:c r="D53" s="19" t="str">
        <x:v>S028</x:v>
      </x:c>
      <x:c r="E53" s="19" t="str">
        <x:v>Research E — Global, cultural, and resource-level comparison of health issue identification workflows</x:v>
      </x:c>
      <x:c r="F53" s="19" t="str">
        <x:v>Transforming Emergency Departments towards Cultural Safety</x:v>
      </x:c>
      <x:c r="G53" s="19" t="str">
        <x:v>https://www.clinicalexcellence.qld.gov.au/improvement-exchange/transforming-eds-towards-cultural-safety-tecs</x:v>
      </x:c>
      <x:c r="H53" s="19" t="str">
        <x:v>health-service case study</x:v>
      </x:c>
      <x:c r="I53" s="19" t="str">
        <x:v>Clinical Excellence Queensland</x:v>
      </x:c>
      <x:c r="J53" s="19" t="str">
        <x:v>unknown</x:v>
      </x:c>
      <x:c r="K53" s="19" t="str">
        <x:v>2026-05-30</x:v>
      </x:c>
      <x:c r="L53" s="19" t="str">
        <x:v>Australia / Queensland</x:v>
      </x:c>
      <x:c r="M53" s="19" t="str">
        <x:v>emergency department</x:v>
      </x:c>
      <x:c r="N53" s="19" t="str">
        <x:v>medium</x:v>
      </x:c>
      <x:c r="O53" s="19" t="str">
        <x:v>ED cultural-safety project to identify Aboriginal and Torres Strait Islander patients and reduce did-not-wait outcomes.</x:v>
      </x:c>
      <x:c r="P53" s="19" t="str">
        <x:v>01_sources/raw_sources/case_reports/s028_queensland_tecs.md</x:v>
      </x:c>
      <x:c r="Q53" s="19" t="str">
        <x:v>Raw file is a source-summary stub, not a full web capture.</x:v>
      </x:c>
      <x:c r="R53" s="19" t="str">
        <x:v>2026-05-30</x:v>
      </x:c>
    </x:row>
    <x:row r="54">
      <x:c r="A54" s="19" t="str">
        <x:v>research_evidence_package_global_health_issue_identification_2026-05-30.tar.gz</x:v>
      </x:c>
      <x:c r="B54" s="19" t="str">
        <x:v>Research E / global health issue identification</x:v>
      </x:c>
      <x:c r="C54" s="19" t="str">
        <x:v>research_evidence_package_global_health_issue_identification_2026-05-30.tar.gz::S029</x:v>
      </x:c>
      <x:c r="D54" s="19" t="str">
        <x:v>S029</x:v>
      </x:c>
      <x:c r="E54" s="19" t="str">
        <x:v>Research E — Global, cultural, and resource-level comparison of health issue identification workflows</x:v>
      </x:c>
      <x:c r="F54" s="19" t="str">
        <x:v>Diagnostic excellence in US rural healthcare: a call to action</x:v>
      </x:c>
      <x:c r="G54" s="19" t="str">
        <x:v>https://psnet.ahrq.gov/issue/diagnostic-excellence-us-rural-healthcare-call-action</x:v>
      </x:c>
      <x:c r="H54" s="19" t="str">
        <x:v>patient-safety issue brief</x:v>
      </x:c>
      <x:c r="I54" s="19" t="str">
        <x:v>AHRQ PSNet</x:v>
      </x:c>
      <x:c r="J54" s="19" t="str">
        <x:v>2024</x:v>
      </x:c>
      <x:c r="K54" s="19" t="str">
        <x:v>2026-05-30</x:v>
      </x:c>
      <x:c r="L54" s="19" t="str">
        <x:v>Rural US</x:v>
      </x:c>
      <x:c r="M54" s="19" t="str">
        <x:v>rural clinic / hospital / telehealth</x:v>
      </x:c>
      <x:c r="N54" s="19" t="str">
        <x:v>high</x:v>
      </x:c>
      <x:c r="O54" s="19" t="str">
        <x:v>Issue brief on rural diagnostic safety affected by care coordination, socioeconomic factors, and specialty access.</x:v>
      </x:c>
      <x:c r="P54" s="19" t="str">
        <x:v>01_sources/raw_sources/reports/s029_ahrq_rural_diagnostic.md</x:v>
      </x:c>
      <x:c r="Q54" s="19" t="str">
        <x:v>Raw file is a source-summary stub, not a full web capture.</x:v>
      </x:c>
      <x:c r="R54" s="19" t="str">
        <x:v>2026-05-30</x:v>
      </x:c>
    </x:row>
    <x:row r="55">
      <x:c r="A55" s="19" t="str">
        <x:v>research_evidence_package_global_health_issue_identification_2026-05-30.tar.gz</x:v>
      </x:c>
      <x:c r="B55" s="19" t="str">
        <x:v>Research E / global health issue identification</x:v>
      </x:c>
      <x:c r="C55" s="19" t="str">
        <x:v>research_evidence_package_global_health_issue_identification_2026-05-30.tar.gz::S030</x:v>
      </x:c>
      <x:c r="D55" s="19" t="str">
        <x:v>S030</x:v>
      </x:c>
      <x:c r="E55" s="19" t="str">
        <x:v>Research E — Global, cultural, and resource-level comparison of health issue identification workflows</x:v>
      </x:c>
      <x:c r="F55" s="19" t="str">
        <x:v>Why health care is harder to access in rural America</x:v>
      </x:c>
      <x:c r="G55" s="19" t="str">
        <x:v>https://www.gao.gov/products/gao-23-106651</x:v>
      </x:c>
      <x:c r="H55" s="19" t="str">
        <x:v>government report</x:v>
      </x:c>
      <x:c r="I55" s="19" t="str">
        <x:v>US Government Accountability Office</x:v>
      </x:c>
      <x:c r="J55" s="19" t="str">
        <x:v>2023</x:v>
      </x:c>
      <x:c r="K55" s="19" t="str">
        <x:v>2026-05-30</x:v>
      </x:c>
      <x:c r="L55" s="19" t="str">
        <x:v>Rural US</x:v>
      </x:c>
      <x:c r="M55" s="19" t="str">
        <x:v>primary care / specialty care / telehealth</x:v>
      </x:c>
      <x:c r="N55" s="19" t="str">
        <x:v>high</x:v>
      </x:c>
      <x:c r="O55" s="19" t="str">
        <x:v>GAO report on fewer providers, longer travel, limited transportation, and broadband barriers in rural health care.</x:v>
      </x:c>
      <x:c r="P55" s="19" t="str">
        <x:v>01_sources/raw_sources/reports/s030_gao_rural_access.md</x:v>
      </x:c>
      <x:c r="Q55" s="19" t="str">
        <x:v>Raw file is a source-summary stub, not a full web capture.</x:v>
      </x:c>
      <x:c r="R55" s="19" t="str">
        <x:v>2026-05-30</x:v>
      </x:c>
    </x:row>
    <x:row r="56">
      <x:c r="A56" s="19" t="str">
        <x:v>research_evidence_package_health_system_patient_flows_2026-05-30.tar.gz</x:v>
      </x:c>
      <x:c r="B56" s="19" t="str">
        <x:v>Research A / health-system patient flows</x:v>
      </x:c>
      <x:c r="C56" s="19" t="str">
        <x:v>research_evidence_package_health_system_patient_flows_2026-05-30.tar.gz::S01</x:v>
      </x:c>
      <x:c r="D56" s="19" t="str">
        <x:v>S01</x:v>
      </x:c>
      <x:c r="E56" s="19" t="str">
        <x:v>Real health-system patient flows for identifying health issues</x:v>
      </x:c>
      <x:c r="F56" s="19" t="str">
        <x:v>Emergency Severity Index (ESI): A Triage Tool for Emergency Department Care, Version 4</x:v>
      </x:c>
      <x:c r="G56" s="19" t="str">
        <x:v>https://media.emscimprovement.center/documents/Emergency_Severity_Index_Handbook.pdf</x:v>
      </x:c>
      <x:c r="H56" s="19" t="str">
        <x:v>clinical handbook / triage algorithm</x:v>
      </x:c>
      <x:c r="I56" s="19" t="str">
        <x:v>unknown</x:v>
      </x:c>
      <x:c r="J56" s="19" t="str">
        <x:v>2012 edition; accessed 2026-05-30</x:v>
      </x:c>
      <x:c r="K56" s="19" t="str">
        <x:v>2026-05-30</x:v>
      </x:c>
      <x:c r="L56" s="19" t="str">
        <x:v>US; used internationally</x:v>
      </x:c>
      <x:c r="M56" s="19" t="str">
        <x:v>emergency department</x:v>
      </x:c>
      <x:c r="N56" s="19" t="str">
        <x:v>high</x:v>
      </x:c>
      <x:c r="O56" s="19" t="str">
        <x:v>Detailed nurse-triage workflow: life-saving intervention, high-risk presentation, resource prediction, danger-zone vitals.</x:v>
      </x:c>
      <x:c r="P56" s="19" t="str">
        <x:v>01_sources/raw_sources/guidelines/s01_emergency_severity_index__esi___a_triage_tool_for_emerg.md</x:v>
      </x:c>
      <x:c r="Q56" s="19" t="str">
        <x:v>metadata taken from completed workbook; author/org not normalized</x:v>
      </x:c>
      <x:c r="R56" s="19" t="str">
        <x:v>2026-05-30</x:v>
      </x:c>
    </x:row>
    <x:row r="57">
      <x:c r="A57" s="19" t="str">
        <x:v>research_evidence_package_health_system_patient_flows_2026-05-30.tar.gz</x:v>
      </x:c>
      <x:c r="B57" s="19" t="str">
        <x:v>Research A / health-system patient flows</x:v>
      </x:c>
      <x:c r="C57" s="19" t="str">
        <x:v>research_evidence_package_health_system_patient_flows_2026-05-30.tar.gz::S02</x:v>
      </x:c>
      <x:c r="D57" s="19" t="str">
        <x:v>S02</x:v>
      </x:c>
      <x:c r="E57" s="19" t="str">
        <x:v>Real health-system patient flows for identifying health issues</x:v>
      </x:c>
      <x:c r="F57" s="19" t="str">
        <x:v>Diagnostic Errors in the Emergency Department: A Systematic Review</x:v>
      </x:c>
      <x:c r="G57" s="19" t="str">
        <x:v>https://www.ncbi.nlm.nih.gov/books/NBK588197/</x:v>
      </x:c>
      <x:c r="H57" s="19" t="str">
        <x:v>systematic review / AHRQ report</x:v>
      </x:c>
      <x:c r="I57" s="19" t="str">
        <x:v>unknown</x:v>
      </x:c>
      <x:c r="J57" s="19" t="str">
        <x:v>2022</x:v>
      </x:c>
      <x:c r="K57" s="19" t="str">
        <x:v>2026-05-30</x:v>
      </x:c>
      <x:c r="L57" s="19" t="str">
        <x:v>US-focused literature, broader ED relevance</x:v>
      </x:c>
      <x:c r="M57" s="19" t="str">
        <x:v>emergency department</x:v>
      </x:c>
      <x:c r="N57" s="19" t="str">
        <x:v>high</x:v>
      </x:c>
      <x:c r="O57" s="19" t="str">
        <x:v>Quantifies ED diagnostic-error burden and identifies common serious-harm conditions.</x:v>
      </x:c>
      <x:c r="P57" s="19" t="str">
        <x:v>01_sources/raw_sources/reports/s02_diagnostic_errors_in_the_emergency_department__a_system.md</x:v>
      </x:c>
      <x:c r="Q57" s="19" t="str">
        <x:v>metadata taken from completed workbook; author/org not normalized</x:v>
      </x:c>
      <x:c r="R57" s="19" t="str">
        <x:v>2026-05-30</x:v>
      </x:c>
    </x:row>
    <x:row r="58">
      <x:c r="A58" s="19" t="str">
        <x:v>research_evidence_package_health_system_patient_flows_2026-05-30.tar.gz</x:v>
      </x:c>
      <x:c r="B58" s="19" t="str">
        <x:v>Research A / health-system patient flows</x:v>
      </x:c>
      <x:c r="C58" s="19" t="str">
        <x:v>research_evidence_package_health_system_patient_flows_2026-05-30.tar.gz::S03</x:v>
      </x:c>
      <x:c r="D58" s="19" t="str">
        <x:v>S03</x:v>
      </x:c>
      <x:c r="E58" s="19" t="str">
        <x:v>Real health-system patient flows for identifying health issues</x:v>
      </x:c>
      <x:c r="F58" s="19" t="str">
        <x:v>Guidance for emergency departments: initial assessment</x:v>
      </x:c>
      <x:c r="G58" s="19" t="str">
        <x:v>https://www.england.nhs.uk/guidance-for-emergency-departments-initial-assessment/</x:v>
      </x:c>
      <x:c r="H58" s="19" t="str">
        <x:v>national guidance</x:v>
      </x:c>
      <x:c r="I58" s="19" t="str">
        <x:v>unknown</x:v>
      </x:c>
      <x:c r="J58" s="19" t="str">
        <x:v>2022; accessed 2026-05-30</x:v>
      </x:c>
      <x:c r="K58" s="19" t="str">
        <x:v>2026-05-30</x:v>
      </x:c>
      <x:c r="L58" s="19" t="str">
        <x:v>England</x:v>
      </x:c>
      <x:c r="M58" s="19" t="str">
        <x:v>emergency department</x:v>
      </x:c>
      <x:c r="N58" s="19" t="str">
        <x:v>high</x:v>
      </x:c>
      <x:c r="O58" s="19" t="str">
        <x:v>Defines streaming, triage and rapid assessment/treatment at the ED front door.</x:v>
      </x:c>
      <x:c r="P58" s="19" t="str">
        <x:v>01_sources/raw_sources/guidelines/s03_guidance_for_emergency_departments__initial_assessment.md</x:v>
      </x:c>
      <x:c r="Q58" s="19" t="str">
        <x:v>metadata taken from completed workbook; author/org not normalized</x:v>
      </x:c>
      <x:c r="R58" s="19" t="str">
        <x:v>2026-05-30</x:v>
      </x:c>
    </x:row>
    <x:row r="59">
      <x:c r="A59" s="19" t="str">
        <x:v>research_evidence_package_health_system_patient_flows_2026-05-30.tar.gz</x:v>
      </x:c>
      <x:c r="B59" s="19" t="str">
        <x:v>Research A / health-system patient flows</x:v>
      </x:c>
      <x:c r="C59" s="19" t="str">
        <x:v>research_evidence_package_health_system_patient_flows_2026-05-30.tar.gz::S04</x:v>
      </x:c>
      <x:c r="D59" s="19" t="str">
        <x:v>S04</x:v>
      </x:c>
      <x:c r="E59" s="19" t="str">
        <x:v>Real health-system patient flows for identifying health issues</x:v>
      </x:c>
      <x:c r="F59" s="19" t="str">
        <x:v>Initial Assessment of Emergency Department Patients</x:v>
      </x:c>
      <x:c r="G59" s="19" t="str">
        <x:v>https://rcem.ac.uk/wp-content/uploads/2025/04/Initial-Assessment.pdf</x:v>
      </x:c>
      <x:c r="H59" s="19" t="str">
        <x:v>professional college guidance</x:v>
      </x:c>
      <x:c r="I59" s="19" t="str">
        <x:v>unknown</x:v>
      </x:c>
      <x:c r="J59" s="19" t="str">
        <x:v>2025 PDF; accessed 2026-05-30</x:v>
      </x:c>
      <x:c r="K59" s="19" t="str">
        <x:v>2026-05-30</x:v>
      </x:c>
      <x:c r="L59" s="19" t="str">
        <x:v>UK</x:v>
      </x:c>
      <x:c r="M59" s="19" t="str">
        <x:v>emergency department</x:v>
      </x:c>
      <x:c r="N59" s="19" t="str">
        <x:v>high</x:v>
      </x:c>
      <x:c r="O59" s="19" t="str">
        <x:v>Requires registration and initial assessment processes; emphasizes occult waits and governance.</x:v>
      </x:c>
      <x:c r="P59" s="19" t="str">
        <x:v>01_sources/raw_sources/guidelines/s04_initial_assessment_of_emergency_department_patients.md</x:v>
      </x:c>
      <x:c r="Q59" s="19" t="str">
        <x:v>metadata taken from completed workbook; author/org not normalized</x:v>
      </x:c>
      <x:c r="R59" s="19" t="str">
        <x:v>2026-05-30</x:v>
      </x:c>
    </x:row>
    <x:row r="60">
      <x:c r="A60" s="19" t="str">
        <x:v>research_evidence_package_health_system_patient_flows_2026-05-30.tar.gz</x:v>
      </x:c>
      <x:c r="B60" s="19" t="str">
        <x:v>Research A / health-system patient flows</x:v>
      </x:c>
      <x:c r="C60" s="19" t="str">
        <x:v>research_evidence_package_health_system_patient_flows_2026-05-30.tar.gz::S05</x:v>
      </x:c>
      <x:c r="D60" s="19" t="str">
        <x:v>S05</x:v>
      </x:c>
      <x:c r="E60" s="19" t="str">
        <x:v>Real health-system patient flows for identifying health issues</x:v>
      </x:c>
      <x:c r="F60" s="19" t="str">
        <x:v>Emergency Department Workflow Diagrams</x:v>
      </x:c>
      <x:c r="G60" s="19" t="str">
        <x:v>https://www.ahrq.gov/sites/default/files/wysiwyg/professionals/quality-patient-safety/quality-resources/tools/cap-toolkit/ed-workflowdiagrams.pdf</x:v>
      </x:c>
      <x:c r="H60" s="19" t="str">
        <x:v>implementation workflow diagrams</x:v>
      </x:c>
      <x:c r="I60" s="19" t="str">
        <x:v>unknown</x:v>
      </x:c>
      <x:c r="J60" s="19" t="str">
        <x:v>accessed 2026-05-30</x:v>
      </x:c>
      <x:c r="K60" s="19" t="str">
        <x:v>2026-05-30</x:v>
      </x:c>
      <x:c r="L60" s="19" t="str">
        <x:v>US</x:v>
      </x:c>
      <x:c r="M60" s="19" t="str">
        <x:v>emergency department</x:v>
      </x:c>
      <x:c r="N60" s="19" t="str">
        <x:v>medium</x:v>
      </x:c>
      <x:c r="O60" s="19" t="str">
        <x:v>Realistic pneumonia ED flow showing triage/intake, provider assessment, labs, CXR, CURB-65, disposition.</x:v>
      </x:c>
      <x:c r="P60" s="19" t="str">
        <x:v>01_sources/raw_sources/other/s05_emergency_department_workflow_diagrams.md</x:v>
      </x:c>
      <x:c r="Q60" s="19" t="str">
        <x:v>metadata taken from completed workbook; author/org not normalized</x:v>
      </x:c>
      <x:c r="R60" s="19" t="str">
        <x:v>2026-05-30</x:v>
      </x:c>
    </x:row>
    <x:row r="61">
      <x:c r="A61" s="19" t="str">
        <x:v>research_evidence_package_health_system_patient_flows_2026-05-30.tar.gz</x:v>
      </x:c>
      <x:c r="B61" s="19" t="str">
        <x:v>Research A / health-system patient flows</x:v>
      </x:c>
      <x:c r="C61" s="19" t="str">
        <x:v>research_evidence_package_health_system_patient_flows_2026-05-30.tar.gz::S06</x:v>
      </x:c>
      <x:c r="D61" s="19" t="str">
        <x:v>S06</x:v>
      </x:c>
      <x:c r="E61" s="19" t="str">
        <x:v>Real health-system patient flows for identifying health issues</x:v>
      </x:c>
      <x:c r="F61" s="19" t="str">
        <x:v>Urgent care self-service</x:v>
      </x:c>
      <x:c r="G61" s="19" t="str">
        <x:v>https://digital.nhs.uk/services/urgent-care-self-service-product</x:v>
      </x:c>
      <x:c r="H61" s="19" t="str">
        <x:v>digital service description</x:v>
      </x:c>
      <x:c r="I61" s="19" t="str">
        <x:v>unknown</x:v>
      </x:c>
      <x:c r="J61" s="19" t="str">
        <x:v>published 2026; accessed 2026-05-30</x:v>
      </x:c>
      <x:c r="K61" s="19" t="str">
        <x:v>2026-05-30</x:v>
      </x:c>
      <x:c r="L61" s="19" t="str">
        <x:v>England</x:v>
      </x:c>
      <x:c r="M61" s="19" t="str">
        <x:v>urgent care / ED front door</x:v>
      </x:c>
      <x:c r="N61" s="19" t="str">
        <x:v>medium</x:v>
      </x:c>
      <x:c r="O61" s="19" t="str">
        <x:v>Digital patient self-check-in and symptom-led prioritisation/redirection using NHS service links.</x:v>
      </x:c>
      <x:c r="P61" s="19" t="str">
        <x:v>01_sources/raw_sources/other/s06_urgent_care_self_service.md</x:v>
      </x:c>
      <x:c r="Q61" s="19" t="str">
        <x:v>metadata taken from completed workbook; author/org not normalized</x:v>
      </x:c>
      <x:c r="R61" s="19" t="str">
        <x:v>2026-05-30</x:v>
      </x:c>
    </x:row>
    <x:row r="62">
      <x:c r="A62" s="19" t="str">
        <x:v>research_evidence_package_health_system_patient_flows_2026-05-30.tar.gz</x:v>
      </x:c>
      <x:c r="B62" s="19" t="str">
        <x:v>Research A / health-system patient flows</x:v>
      </x:c>
      <x:c r="C62" s="19" t="str">
        <x:v>research_evidence_package_health_system_patient_flows_2026-05-30.tar.gz::S07</x:v>
      </x:c>
      <x:c r="D62" s="19" t="str">
        <x:v>S07</x:v>
      </x:c>
      <x:c r="E62" s="19" t="str">
        <x:v>Real health-system patient flows for identifying health issues</x:v>
      </x:c>
      <x:c r="F62" s="19" t="str">
        <x:v>Urgent treatment centres: principles and standards</x:v>
      </x:c>
      <x:c r="G62" s="19" t="str">
        <x:v>https://www.england.nhs.uk/publication/urgent-treatment-centres-principles-and-standards/</x:v>
      </x:c>
      <x:c r="H62" s="19" t="str">
        <x:v>national service standards</x:v>
      </x:c>
      <x:c r="I62" s="19" t="str">
        <x:v>unknown</x:v>
      </x:c>
      <x:c r="J62" s="19" t="str">
        <x:v>20 Oct 2023; updated 23 Oct 2023</x:v>
      </x:c>
      <x:c r="K62" s="19" t="str">
        <x:v>2026-05-30</x:v>
      </x:c>
      <x:c r="L62" s="19" t="str">
        <x:v>England</x:v>
      </x:c>
      <x:c r="M62" s="19" t="str">
        <x:v>urgent treatment centre</x:v>
      </x:c>
      <x:c r="N62" s="19" t="str">
        <x:v>high</x:v>
      </x:c>
      <x:c r="O62" s="19" t="str">
        <x:v>Defines UTC model, diagnostics, records, walk-in/booked access, referral/ED co-location models.</x:v>
      </x:c>
      <x:c r="P62" s="19" t="str">
        <x:v>01_sources/raw_sources/guidelines/s07_urgent_treatment_centres__principles_and_standards.md</x:v>
      </x:c>
      <x:c r="Q62" s="19" t="str">
        <x:v>metadata taken from completed workbook; author/org not normalized</x:v>
      </x:c>
      <x:c r="R62" s="19" t="str">
        <x:v>2026-05-30</x:v>
      </x:c>
    </x:row>
    <x:row r="63">
      <x:c r="A63" s="19" t="str">
        <x:v>research_evidence_package_health_system_patient_flows_2026-05-30.tar.gz</x:v>
      </x:c>
      <x:c r="B63" s="19" t="str">
        <x:v>Research A / health-system patient flows</x:v>
      </x:c>
      <x:c r="C63" s="19" t="str">
        <x:v>research_evidence_package_health_system_patient_flows_2026-05-30.tar.gz::S08</x:v>
      </x:c>
      <x:c r="D63" s="19" t="str">
        <x:v>S08</x:v>
      </x:c>
      <x:c r="E63" s="19" t="str">
        <x:v>Real health-system patient flows for identifying health issues</x:v>
      </x:c>
      <x:c r="F63" s="19" t="str">
        <x:v>When to visit an urgent treatment centre</x:v>
      </x:c>
      <x:c r="G63" s="19" t="str">
        <x:v>https://www.nhs.uk/nhs-services/urgent-and-emergency-care-services/when-to-visit-an-urgent-treatment-centre-urgent-care-centre-or-minor-injury-unit/</x:v>
      </x:c>
      <x:c r="H63" s="19" t="str">
        <x:v>patient-facing service page</x:v>
      </x:c>
      <x:c r="I63" s="19" t="str">
        <x:v>unknown</x:v>
      </x:c>
      <x:c r="J63" s="19" t="str">
        <x:v>accessed 2026-05-30</x:v>
      </x:c>
      <x:c r="K63" s="19" t="str">
        <x:v>2026-05-30</x:v>
      </x:c>
      <x:c r="L63" s="19" t="str">
        <x:v>England</x:v>
      </x:c>
      <x:c r="M63" s="19" t="str">
        <x:v>urgent treatment centre</x:v>
      </x:c>
      <x:c r="N63" s="19" t="str">
        <x:v>medium</x:v>
      </x:c>
      <x:c r="O63" s="19" t="str">
        <x:v>Describes arrival, nurse observations, waiting prioritisation, tests, treatment, referral and GP update.</x:v>
      </x:c>
      <x:c r="P63" s="19" t="str">
        <x:v>01_sources/raw_sources/other/s08_when_to_visit_an_urgent_treatment_centre.md</x:v>
      </x:c>
      <x:c r="Q63" s="19" t="str">
        <x:v>metadata taken from completed workbook; author/org not normalized</x:v>
      </x:c>
      <x:c r="R63" s="19" t="str">
        <x:v>2026-05-30</x:v>
      </x:c>
    </x:row>
    <x:row r="64">
      <x:c r="A64" s="19" t="str">
        <x:v>research_evidence_package_health_system_patient_flows_2026-05-30.tar.gz</x:v>
      </x:c>
      <x:c r="B64" s="19" t="str">
        <x:v>Research A / health-system patient flows</x:v>
      </x:c>
      <x:c r="C64" s="19" t="str">
        <x:v>research_evidence_package_health_system_patient_flows_2026-05-30.tar.gz::S09</x:v>
      </x:c>
      <x:c r="D64" s="19" t="str">
        <x:v>S09</x:v>
      </x:c>
      <x:c r="E64" s="19" t="str">
        <x:v>Real health-system patient flows for identifying health issues</x:v>
      </x:c>
      <x:c r="F64" s="19" t="str">
        <x:v>Vital Signs in the Urgent Care Center</x:v>
      </x:c>
      <x:c r="G64" s="19" t="str">
        <x:v>https://urgentcareassociation.org/wp-content/uploads/VITAL-SIGNS-IN-UC-CENTERS-04-2025_Revised.pdf</x:v>
      </x:c>
      <x:c r="H64" s="19" t="str">
        <x:v>urgent care clinical policy</x:v>
      </x:c>
      <x:c r="I64" s="19" t="str">
        <x:v>unknown</x:v>
      </x:c>
      <x:c r="J64" s="19" t="str">
        <x:v>updated Apr 2025; accessed 2026-05-30</x:v>
      </x:c>
      <x:c r="K64" s="19" t="str">
        <x:v>2026-05-30</x:v>
      </x:c>
      <x:c r="L64" s="19" t="str">
        <x:v>US</x:v>
      </x:c>
      <x:c r="M64" s="19" t="str">
        <x:v>urgent care</x:v>
      </x:c>
      <x:c r="N64" s="19" t="str">
        <x:v>medium</x:v>
      </x:c>
      <x:c r="O64" s="19" t="str">
        <x:v>Initial vitals early, ideally within 15 minutes; abnormal vitals reporting/repeat measurement.</x:v>
      </x:c>
      <x:c r="P64" s="19" t="str">
        <x:v>01_sources/raw_sources/other/s09_vital_signs_in_the_urgent_care_center.md</x:v>
      </x:c>
      <x:c r="Q64" s="19" t="str">
        <x:v>metadata taken from completed workbook; author/org not normalized</x:v>
      </x:c>
      <x:c r="R64" s="19" t="str">
        <x:v>2026-05-30</x:v>
      </x:c>
    </x:row>
    <x:row r="65">
      <x:c r="A65" s="19" t="str">
        <x:v>research_evidence_package_health_system_patient_flows_2026-05-30.tar.gz</x:v>
      </x:c>
      <x:c r="B65" s="19" t="str">
        <x:v>Research A / health-system patient flows</x:v>
      </x:c>
      <x:c r="C65" s="19" t="str">
        <x:v>research_evidence_package_health_system_patient_flows_2026-05-30.tar.gz::S10</x:v>
      </x:c>
      <x:c r="D65" s="19" t="str">
        <x:v>S10</x:v>
      </x:c>
      <x:c r="E65" s="19" t="str">
        <x:v>Real health-system patient flows for identifying health issues</x:v>
      </x:c>
      <x:c r="F65" s="19" t="str">
        <x:v>Red Flags Identification and Intervention Policy for Urgent Care Centers</x:v>
      </x:c>
      <x:c r="G65" s="19" t="str">
        <x:v>https://urgentcareassociation.org/wp-content/uploads/RED-FLAGS-04-2025_Revised.pdf</x:v>
      </x:c>
      <x:c r="H65" s="19" t="str">
        <x:v>urgent care clinical policy</x:v>
      </x:c>
      <x:c r="I65" s="19" t="str">
        <x:v>unknown</x:v>
      </x:c>
      <x:c r="J65" s="19" t="str">
        <x:v>updated Apr 2025; accessed 2026-05-30</x:v>
      </x:c>
      <x:c r="K65" s="19" t="str">
        <x:v>2026-05-30</x:v>
      </x:c>
      <x:c r="L65" s="19" t="str">
        <x:v>US</x:v>
      </x:c>
      <x:c r="M65" s="19" t="str">
        <x:v>urgent care</x:v>
      </x:c>
      <x:c r="N65" s="19" t="str">
        <x:v>medium</x:v>
      </x:c>
      <x:c r="O65" s="19" t="str">
        <x:v>Registration/intake staff identify distress, chest pain, shortness of breath, bleeding, neurologic signs and escalate.</x:v>
      </x:c>
      <x:c r="P65" s="19" t="str">
        <x:v>01_sources/raw_sources/other/s10_red_flags_identification_and_intervention_policy_for_ur.md</x:v>
      </x:c>
      <x:c r="Q65" s="19" t="str">
        <x:v>metadata taken from completed workbook; author/org not normalized</x:v>
      </x:c>
      <x:c r="R65" s="19" t="str">
        <x:v>2026-05-30</x:v>
      </x:c>
    </x:row>
    <x:row r="66">
      <x:c r="A66" s="19" t="str">
        <x:v>research_evidence_package_health_system_patient_flows_2026-05-30.tar.gz</x:v>
      </x:c>
      <x:c r="B66" s="19" t="str">
        <x:v>Research A / health-system patient flows</x:v>
      </x:c>
      <x:c r="C66" s="19" t="str">
        <x:v>research_evidence_package_health_system_patient_flows_2026-05-30.tar.gz::S11</x:v>
      </x:c>
      <x:c r="D66" s="19" t="str">
        <x:v>S11</x:v>
      </x:c>
      <x:c r="E66" s="19" t="str">
        <x:v>Real health-system patient flows for identifying health issues</x:v>
      </x:c>
      <x:c r="F66" s="19" t="str">
        <x:v>NHS 111 online</x:v>
      </x:c>
      <x:c r="G66" s="19" t="str">
        <x:v>https://111.nhs.uk/</x:v>
      </x:c>
      <x:c r="H66" s="19" t="str">
        <x:v>patient-facing digital triage service</x:v>
      </x:c>
      <x:c r="I66" s="19" t="str">
        <x:v>unknown</x:v>
      </x:c>
      <x:c r="J66" s="19" t="str">
        <x:v>accessed 2026-05-30</x:v>
      </x:c>
      <x:c r="K66" s="19" t="str">
        <x:v>2026-05-30</x:v>
      </x:c>
      <x:c r="L66" s="19" t="str">
        <x:v>England</x:v>
      </x:c>
      <x:c r="M66" s="19" t="str">
        <x:v>telehealth / urgent advice</x:v>
      </x:c>
      <x:c r="N66" s="19" t="str">
        <x:v>medium</x:v>
      </x:c>
      <x:c r="O66" s="19" t="str">
        <x:v>Patient answers symptom questions and receives disposition advice rather than a diagnosis.</x:v>
      </x:c>
      <x:c r="P66" s="19" t="str">
        <x:v>01_sources/raw_sources/other/s11_nhs_111_online.md</x:v>
      </x:c>
      <x:c r="Q66" s="19" t="str">
        <x:v>metadata taken from completed workbook; author/org not normalized</x:v>
      </x:c>
      <x:c r="R66" s="19" t="str">
        <x:v>2026-05-30</x:v>
      </x:c>
    </x:row>
    <x:row r="67">
      <x:c r="A67" s="19" t="str">
        <x:v>research_evidence_package_health_system_patient_flows_2026-05-30.tar.gz</x:v>
      </x:c>
      <x:c r="B67" s="19" t="str">
        <x:v>Research A / health-system patient flows</x:v>
      </x:c>
      <x:c r="C67" s="19" t="str">
        <x:v>research_evidence_package_health_system_patient_flows_2026-05-30.tar.gz::S12</x:v>
      </x:c>
      <x:c r="D67" s="19" t="str">
        <x:v>S12</x:v>
      </x:c>
      <x:c r="E67" s="19" t="str">
        <x:v>Real health-system patient flows for identifying health issues</x:v>
      </x:c>
      <x:c r="F67" s="19" t="str">
        <x:v>NHS 111 online staff information</x:v>
      </x:c>
      <x:c r="G67" s="19" t="str">
        <x:v>https://digital.nhs.uk/services/nhs-111-online</x:v>
      </x:c>
      <x:c r="H67" s="19" t="str">
        <x:v>digital service guidance</x:v>
      </x:c>
      <x:c r="I67" s="19" t="str">
        <x:v>unknown</x:v>
      </x:c>
      <x:c r="J67" s="19" t="str">
        <x:v>last edited 17 Dec 2025; accessed 2026-05-30</x:v>
      </x:c>
      <x:c r="K67" s="19" t="str">
        <x:v>2026-05-30</x:v>
      </x:c>
      <x:c r="L67" s="19" t="str">
        <x:v>England</x:v>
      </x:c>
      <x:c r="M67" s="19" t="str">
        <x:v>telehealth / urgent advice</x:v>
      </x:c>
      <x:c r="N67" s="19" t="str">
        <x:v>medium</x:v>
      </x:c>
      <x:c r="O67" s="19" t="str">
        <x:v>Uses NHS Pathways and Directory of Services; outcomes include ambulance/ED/UTC/GP/pharmacist/self-care.</x:v>
      </x:c>
      <x:c r="P67" s="19" t="str">
        <x:v>01_sources/raw_sources/guidelines/s12_nhs_111_online_staff_information.md</x:v>
      </x:c>
      <x:c r="Q67" s="19" t="str">
        <x:v>metadata taken from completed workbook; author/org not normalized</x:v>
      </x:c>
      <x:c r="R67" s="19" t="str">
        <x:v>2026-05-30</x:v>
      </x:c>
    </x:row>
    <x:row r="68">
      <x:c r="A68" s="19" t="str">
        <x:v>research_evidence_package_health_system_patient_flows_2026-05-30.tar.gz</x:v>
      </x:c>
      <x:c r="B68" s="19" t="str">
        <x:v>Research A / health-system patient flows</x:v>
      </x:c>
      <x:c r="C68" s="19" t="str">
        <x:v>research_evidence_package_health_system_patient_flows_2026-05-30.tar.gz::S13</x:v>
      </x:c>
      <x:c r="D68" s="19" t="str">
        <x:v>S13</x:v>
      </x:c>
      <x:c r="E68" s="19" t="str">
        <x:v>Real health-system patient flows for identifying health issues</x:v>
      </x:c>
      <x:c r="F68" s="19" t="str">
        <x:v>Digital tools for online consultation in general practice</x:v>
      </x:c>
      <x:c r="G68" s="19" t="str">
        <x:v>https://www.hssib.org.uk/patient-safety-investigations/workforce-and-patient-safety/second-investigation-report/</x:v>
      </x:c>
      <x:c r="H68" s="19" t="str">
        <x:v>patient safety investigation</x:v>
      </x:c>
      <x:c r="I68" s="19" t="str">
        <x:v>unknown</x:v>
      </x:c>
      <x:c r="J68" s="19" t="str">
        <x:v>25 Jul 2024</x:v>
      </x:c>
      <x:c r="K68" s="19" t="str">
        <x:v>2026-05-30</x:v>
      </x:c>
      <x:c r="L68" s="19" t="str">
        <x:v>England</x:v>
      </x:c>
      <x:c r="M68" s="19" t="str">
        <x:v>primary care / telehealth</x:v>
      </x:c>
      <x:c r="N68" s="19" t="str">
        <x:v>high</x:v>
      </x:c>
      <x:c r="O68" s="19" t="str">
        <x:v>Safety risks when asynchronous online forms change access, history capture, prioritisation and continuity.</x:v>
      </x:c>
      <x:c r="P68" s="19" t="str">
        <x:v>01_sources/raw_sources/reports/s13_digital_tools_for_online_consultation_in_general_practi.md</x:v>
      </x:c>
      <x:c r="Q68" s="19" t="str">
        <x:v>metadata taken from completed workbook; author/org not normalized</x:v>
      </x:c>
      <x:c r="R68" s="19" t="str">
        <x:v>2026-05-30</x:v>
      </x:c>
    </x:row>
    <x:row r="69">
      <x:c r="A69" s="19" t="str">
        <x:v>research_evidence_package_health_system_patient_flows_2026-05-30.tar.gz</x:v>
      </x:c>
      <x:c r="B69" s="19" t="str">
        <x:v>Research A / health-system patient flows</x:v>
      </x:c>
      <x:c r="C69" s="19" t="str">
        <x:v>research_evidence_package_health_system_patient_flows_2026-05-30.tar.gz::S14</x:v>
      </x:c>
      <x:c r="D69" s="19" t="str">
        <x:v>S14</x:v>
      </x:c>
      <x:c r="E69" s="19" t="str">
        <x:v>Real health-system patient flows for identifying health issues</x:v>
      </x:c>
      <x:c r="F69" s="19" t="str">
        <x:v>Telehealth and Patient Safety</x:v>
      </x:c>
      <x:c r="G69" s="19" t="str">
        <x:v>https://psnet.ahrq.gov/primer/telehealth-and-patient-safety</x:v>
      </x:c>
      <x:c r="H69" s="19" t="str">
        <x:v>patient safety primer</x:v>
      </x:c>
      <x:c r="I69" s="19" t="str">
        <x:v>unknown</x:v>
      </x:c>
      <x:c r="J69" s="19" t="str">
        <x:v>accessed 2026-05-30</x:v>
      </x:c>
      <x:c r="K69" s="19" t="str">
        <x:v>2026-05-30</x:v>
      </x:c>
      <x:c r="L69" s="19" t="str">
        <x:v>US / international relevance</x:v>
      </x:c>
      <x:c r="M69" s="19" t="str">
        <x:v>telehealth</x:v>
      </x:c>
      <x:c r="N69" s="19" t="str">
        <x:v>high</x:v>
      </x:c>
      <x:c r="O69" s="19" t="str">
        <x:v>Diagnostic risks from communication gaps, limited physical exam, patient-measured vitals and follow-up fragmentation.</x:v>
      </x:c>
      <x:c r="P69" s="19" t="str">
        <x:v>01_sources/raw_sources/other/s14_telehealth_and_patient_safety.md</x:v>
      </x:c>
      <x:c r="Q69" s="19" t="str">
        <x:v>metadata taken from completed workbook; author/org not normalized</x:v>
      </x:c>
      <x:c r="R69" s="19" t="str">
        <x:v>2026-05-30</x:v>
      </x:c>
    </x:row>
    <x:row r="70">
      <x:c r="A70" s="19" t="str">
        <x:v>research_evidence_package_health_system_patient_flows_2026-05-30.tar.gz</x:v>
      </x:c>
      <x:c r="B70" s="19" t="str">
        <x:v>Research A / health-system patient flows</x:v>
      </x:c>
      <x:c r="C70" s="19" t="str">
        <x:v>research_evidence_package_health_system_patient_flows_2026-05-30.tar.gz::S15</x:v>
      </x:c>
      <x:c r="D70" s="19" t="str">
        <x:v>S15</x:v>
      </x:c>
      <x:c r="E70" s="19" t="str">
        <x:v>Real health-system patient flows for identifying health issues</x:v>
      </x:c>
      <x:c r="F70" s="19" t="str">
        <x:v>Modern General Practice Model</x:v>
      </x:c>
      <x:c r="G70" s="19" t="str">
        <x:v>https://www.england.nhs.uk/long-read/modern-general-practice-model/</x:v>
      </x:c>
      <x:c r="H70" s="19" t="str">
        <x:v>national primary-care access guidance</x:v>
      </x:c>
      <x:c r="I70" s="19" t="str">
        <x:v>unknown</x:v>
      </x:c>
      <x:c r="J70" s="19" t="str">
        <x:v>accessed 2026-05-30</x:v>
      </x:c>
      <x:c r="K70" s="19" t="str">
        <x:v>2026-05-30</x:v>
      </x:c>
      <x:c r="L70" s="19" t="str">
        <x:v>England</x:v>
      </x:c>
      <x:c r="M70" s="19" t="str">
        <x:v>primary care</x:v>
      </x:c>
      <x:c r="N70" s="19" t="str">
        <x:v>high</x:v>
      </x:c>
      <x:c r="O70" s="19" t="str">
        <x:v>Care navigation, online/telephone/in-person access, right professional first time, demand/capacity.</x:v>
      </x:c>
      <x:c r="P70" s="19" t="str">
        <x:v>01_sources/raw_sources/guidelines/s15_modern_general_practice_model.md</x:v>
      </x:c>
      <x:c r="Q70" s="19" t="str">
        <x:v>metadata taken from completed workbook; author/org not normalized</x:v>
      </x:c>
      <x:c r="R70" s="19" t="str">
        <x:v>2026-05-30</x:v>
      </x:c>
    </x:row>
    <x:row r="71">
      <x:c r="A71" s="19" t="str">
        <x:v>research_evidence_package_health_system_patient_flows_2026-05-30.tar.gz</x:v>
      </x:c>
      <x:c r="B71" s="19" t="str">
        <x:v>Research A / health-system patient flows</x:v>
      </x:c>
      <x:c r="C71" s="19" t="str">
        <x:v>research_evidence_package_health_system_patient_flows_2026-05-30.tar.gz::S16</x:v>
      </x:c>
      <x:c r="D71" s="19" t="str">
        <x:v>S16</x:v>
      </x:c>
      <x:c r="E71" s="19" t="str">
        <x:v>Real health-system patient flows for identifying health issues</x:v>
      </x:c>
      <x:c r="F71" s="19" t="str">
        <x:v>Care navigation and triage in general practice</x:v>
      </x:c>
      <x:c r="G71" s="19" t="str">
        <x:v>https://www.bma.org.uk/advice-and-support/gp-practices/gp-service-provision/care-navigation-and-triage-in-general-practice</x:v>
      </x:c>
      <x:c r="H71" s="19" t="str">
        <x:v>professional guidance</x:v>
      </x:c>
      <x:c r="I71" s="19" t="str">
        <x:v>unknown</x:v>
      </x:c>
      <x:c r="J71" s="19" t="str">
        <x:v>accessed 2026-05-30</x:v>
      </x:c>
      <x:c r="K71" s="19" t="str">
        <x:v>2026-05-30</x:v>
      </x:c>
      <x:c r="L71" s="19" t="str">
        <x:v>UK</x:v>
      </x:c>
      <x:c r="M71" s="19" t="str">
        <x:v>primary care</x:v>
      </x:c>
      <x:c r="N71" s="19" t="str">
        <x:v>medium</x:v>
      </x:c>
      <x:c r="O71" s="19" t="str">
        <x:v>Distinguishes clinical triage from administrative care navigation and signposting.</x:v>
      </x:c>
      <x:c r="P71" s="19" t="str">
        <x:v>01_sources/raw_sources/guidelines/s16_care_navigation_and_triage_in_general_practice.md</x:v>
      </x:c>
      <x:c r="Q71" s="19" t="str">
        <x:v>metadata taken from completed workbook; author/org not normalized</x:v>
      </x:c>
      <x:c r="R71" s="19" t="str">
        <x:v>2026-05-30</x:v>
      </x:c>
    </x:row>
    <x:row r="72">
      <x:c r="A72" s="19" t="str">
        <x:v>research_evidence_package_health_system_patient_flows_2026-05-30.tar.gz</x:v>
      </x:c>
      <x:c r="B72" s="19" t="str">
        <x:v>Research A / health-system patient flows</x:v>
      </x:c>
      <x:c r="C72" s="19" t="str">
        <x:v>research_evidence_package_health_system_patient_flows_2026-05-30.tar.gz::S17</x:v>
      </x:c>
      <x:c r="D72" s="19" t="str">
        <x:v>S17</x:v>
      </x:c>
      <x:c r="E72" s="19" t="str">
        <x:v>Real health-system patient flows for identifying health issues</x:v>
      </x:c>
      <x:c r="F72" s="19" t="str">
        <x:v>Suspected cancer: recognition and referral (NG12)</x:v>
      </x:c>
      <x:c r="G72" s="19" t="str">
        <x:v>https://www.nice.org.uk/guidance/NG12/</x:v>
      </x:c>
      <x:c r="H72" s="19" t="str">
        <x:v>clinical guideline</x:v>
      </x:c>
      <x:c r="I72" s="19" t="str">
        <x:v>unknown</x:v>
      </x:c>
      <x:c r="J72" s="19" t="str">
        <x:v>2015; updated; accessed 2026-05-30</x:v>
      </x:c>
      <x:c r="K72" s="19" t="str">
        <x:v>2026-05-30</x:v>
      </x:c>
      <x:c r="L72" s="19" t="str">
        <x:v>England/Wales</x:v>
      </x:c>
      <x:c r="M72" s="19" t="str">
        <x:v>primary care / referral</x:v>
      </x:c>
      <x:c r="N72" s="19" t="str">
        <x:v>high</x:v>
      </x:c>
      <x:c r="O72" s="19" t="str">
        <x:v>Symptom, investigation and safety-netting guidance for suspected cancer recognition and referral.</x:v>
      </x:c>
      <x:c r="P72" s="19" t="str">
        <x:v>01_sources/raw_sources/guidelines/s17_suspected_cancer__recognition_and_referral__ng12.md</x:v>
      </x:c>
      <x:c r="Q72" s="19" t="str">
        <x:v>metadata taken from completed workbook; author/org not normalized</x:v>
      </x:c>
      <x:c r="R72" s="19" t="str">
        <x:v>2026-05-30</x:v>
      </x:c>
    </x:row>
    <x:row r="73">
      <x:c r="A73" s="19" t="str">
        <x:v>research_evidence_package_health_system_patient_flows_2026-05-30.tar.gz</x:v>
      </x:c>
      <x:c r="B73" s="19" t="str">
        <x:v>Research A / health-system patient flows</x:v>
      </x:c>
      <x:c r="C73" s="19" t="str">
        <x:v>research_evidence_package_health_system_patient_flows_2026-05-30.tar.gz::S18</x:v>
      </x:c>
      <x:c r="D73" s="19" t="str">
        <x:v>S18</x:v>
      </x:c>
      <x:c r="E73" s="19" t="str">
        <x:v>Real health-system patient flows for identifying health issues</x:v>
      </x:c>
      <x:c r="F73" s="19" t="str">
        <x:v>Safety netting</x:v>
      </x:c>
      <x:c r="G73" s="19" t="str">
        <x:v>https://www.cancerresearchuk.org/health-professional/diagnosis/primary-care/safety-netting</x:v>
      </x:c>
      <x:c r="H73" s="19" t="str">
        <x:v>professional guidance / charity</x:v>
      </x:c>
      <x:c r="I73" s="19" t="str">
        <x:v>unknown</x:v>
      </x:c>
      <x:c r="J73" s="19" t="str">
        <x:v>updated 2026; accessed 2026-05-30</x:v>
      </x:c>
      <x:c r="K73" s="19" t="str">
        <x:v>2026-05-30</x:v>
      </x:c>
      <x:c r="L73" s="19" t="str">
        <x:v>UK</x:v>
      </x:c>
      <x:c r="M73" s="19" t="str">
        <x:v>primary care</x:v>
      </x:c>
      <x:c r="N73" s="19" t="str">
        <x:v>medium</x:v>
      </x:c>
      <x:c r="O73" s="19" t="str">
        <x:v>Explicitly addresses persistent symptoms, negative tests, investigation completion, repeat presentations and Jess's Rule.</x:v>
      </x:c>
      <x:c r="P73" s="19" t="str">
        <x:v>01_sources/raw_sources/guidelines/s18_safety_netting.md</x:v>
      </x:c>
      <x:c r="Q73" s="19" t="str">
        <x:v>metadata taken from completed workbook; author/org not normalized</x:v>
      </x:c>
      <x:c r="R73" s="19" t="str">
        <x:v>2026-05-30</x:v>
      </x:c>
    </x:row>
    <x:row r="74">
      <x:c r="A74" s="19" t="str">
        <x:v>research_evidence_package_health_system_patient_flows_2026-05-30.tar.gz</x:v>
      </x:c>
      <x:c r="B74" s="19" t="str">
        <x:v>Research A / health-system patient flows</x:v>
      </x:c>
      <x:c r="C74" s="19" t="str">
        <x:v>research_evidence_package_health_system_patient_flows_2026-05-30.tar.gz::S19</x:v>
      </x:c>
      <x:c r="D74" s="19" t="str">
        <x:v>S19</x:v>
      </x:c>
      <x:c r="E74" s="19" t="str">
        <x:v>Real health-system patient flows for identifying health issues</x:v>
      </x:c>
      <x:c r="F74" s="19" t="str">
        <x:v>GP mythbuster: managing test results in general practice</x:v>
      </x:c>
      <x:c r="G74" s="19" t="str">
        <x:v>https://www.cqc.org.uk/guidance-regulation/gps/gp-mythbusters</x:v>
      </x:c>
      <x:c r="H74" s="19" t="str">
        <x:v>regulator guidance</x:v>
      </x:c>
      <x:c r="I74" s="19" t="str">
        <x:v>unknown</x:v>
      </x:c>
      <x:c r="J74" s="19" t="str">
        <x:v>accessed 2026-05-30</x:v>
      </x:c>
      <x:c r="K74" s="19" t="str">
        <x:v>2026-05-30</x:v>
      </x:c>
      <x:c r="L74" s="19" t="str">
        <x:v>England</x:v>
      </x:c>
      <x:c r="M74" s="19" t="str">
        <x:v>primary care</x:v>
      </x:c>
      <x:c r="N74" s="19" t="str">
        <x:v>high</x:v>
      </x:c>
      <x:c r="O74" s="19" t="str">
        <x:v>Test-result processes: ordering, return/non-return, clinician absence, abnormal follow-up and patient communication.</x:v>
      </x:c>
      <x:c r="P74" s="19" t="str">
        <x:v>01_sources/raw_sources/guidelines/s19_gp_mythbuster__managing_test_results_in_general_practic.md</x:v>
      </x:c>
      <x:c r="Q74" s="19" t="str">
        <x:v>metadata taken from completed workbook; author/org not normalized</x:v>
      </x:c>
      <x:c r="R74" s="19" t="str">
        <x:v>2026-05-30</x:v>
      </x:c>
    </x:row>
    <x:row r="75">
      <x:c r="A75" s="19" t="str">
        <x:v>research_evidence_package_health_system_patient_flows_2026-05-30.tar.gz</x:v>
      </x:c>
      <x:c r="B75" s="19" t="str">
        <x:v>Research A / health-system patient flows</x:v>
      </x:c>
      <x:c r="C75" s="19" t="str">
        <x:v>research_evidence_package_health_system_patient_flows_2026-05-30.tar.gz::S20</x:v>
      </x:c>
      <x:c r="D75" s="19" t="str">
        <x:v>S20</x:v>
      </x:c>
      <x:c r="E75" s="19" t="str">
        <x:v>Real health-system patient flows for identifying health issues</x:v>
      </x:c>
      <x:c r="F75" s="19" t="str">
        <x:v>Continuity of care: delayed diagnosis in GP practices</x:v>
      </x:c>
      <x:c r="G75" s="19" t="str">
        <x:v>https://www.hssib.org.uk/patient-safety-investigations/continuity-of-care-delayed-diagnosis-in-gp-practices/investigation-report/pdf/</x:v>
      </x:c>
      <x:c r="H75" s="19" t="str">
        <x:v>patient safety investigation / case study</x:v>
      </x:c>
      <x:c r="I75" s="19" t="str">
        <x:v>unknown</x:v>
      </x:c>
      <x:c r="J75" s="19" t="str">
        <x:v>30 Nov 2023</x:v>
      </x:c>
      <x:c r="K75" s="19" t="str">
        <x:v>2026-05-30</x:v>
      </x:c>
      <x:c r="L75" s="19" t="str">
        <x:v>England</x:v>
      </x:c>
      <x:c r="M75" s="19" t="str">
        <x:v>primary care / ED / oncology</x:v>
      </x:c>
      <x:c r="N75" s="19" t="str">
        <x:v>high</x:v>
      </x:c>
      <x:c r="O75" s="19" t="str">
        <x:v>Brian case: repeated contacts across clinicians; EHR failed to surface unresolved symptoms and patterns.</x:v>
      </x:c>
      <x:c r="P75" s="19" t="str">
        <x:v>01_sources/raw_sources/reports/s20_continuity_of_care__delayed_diagnosis_in_gp_practices.md</x:v>
      </x:c>
      <x:c r="Q75" s="19" t="str">
        <x:v>metadata taken from completed workbook; author/org not normalized</x:v>
      </x:c>
      <x:c r="R75" s="19" t="str">
        <x:v>2026-05-30</x:v>
      </x:c>
    </x:row>
    <x:row r="76">
      <x:c r="A76" s="19" t="str">
        <x:v>research_evidence_package_health_system_patient_flows_2026-05-30.tar.gz</x:v>
      </x:c>
      <x:c r="B76" s="19" t="str">
        <x:v>Research A / health-system patient flows</x:v>
      </x:c>
      <x:c r="C76" s="19" t="str">
        <x:v>research_evidence_package_health_system_patient_flows_2026-05-30.tar.gz::S21</x:v>
      </x:c>
      <x:c r="D76" s="19" t="str">
        <x:v>S21</x:v>
      </x:c>
      <x:c r="E76" s="19" t="str">
        <x:v>Real health-system patient flows for identifying health issues</x:v>
      </x:c>
      <x:c r="F76" s="19" t="str">
        <x:v>Jess's Rule: Three strikes and we rethink</x:v>
      </x:c>
      <x:c r="G76" s="19" t="str">
        <x:v>https://www.england.nhs.uk/long-read/jesss-rule-three-strikes-and-we-rethink/</x:v>
      </x:c>
      <x:c r="H76" s="19" t="str">
        <x:v>national primary-care safety initiative</x:v>
      </x:c>
      <x:c r="I76" s="19" t="str">
        <x:v>unknown</x:v>
      </x:c>
      <x:c r="J76" s="19" t="str">
        <x:v>23 Sep 2025; updated 14 May 2026</x:v>
      </x:c>
      <x:c r="K76" s="19" t="str">
        <x:v>2026-05-30</x:v>
      </x:c>
      <x:c r="L76" s="19" t="str">
        <x:v>England</x:v>
      </x:c>
      <x:c r="M76" s="19" t="str">
        <x:v>primary care</x:v>
      </x:c>
      <x:c r="N76" s="19" t="str">
        <x:v>medium</x:v>
      </x:c>
      <x:c r="O76" s="19" t="str">
        <x:v>Rethink diagnosis after third presentation with persistent, escalating or unexplained symptoms.</x:v>
      </x:c>
      <x:c r="P76" s="19" t="str">
        <x:v>01_sources/raw_sources/other/s21_jess_s_rule__three_strikes_and_we_rethink.md</x:v>
      </x:c>
      <x:c r="Q76" s="19" t="str">
        <x:v>metadata taken from completed workbook; author/org not normalized</x:v>
      </x:c>
      <x:c r="R76" s="19" t="str">
        <x:v>2026-05-30</x:v>
      </x:c>
    </x:row>
    <x:row r="77">
      <x:c r="A77" s="19" t="str">
        <x:v>research_evidence_package_health_system_patient_flows_2026-05-30.tar.gz</x:v>
      </x:c>
      <x:c r="B77" s="19" t="str">
        <x:v>Research A / health-system patient flows</x:v>
      </x:c>
      <x:c r="C77" s="19" t="str">
        <x:v>research_evidence_package_health_system_patient_flows_2026-05-30.tar.gz::S22</x:v>
      </x:c>
      <x:c r="D77" s="19" t="str">
        <x:v>S22</x:v>
      </x:c>
      <x:c r="E77" s="19" t="str">
        <x:v>Real health-system patient flows for identifying health issues</x:v>
      </x:c>
      <x:c r="F77" s="19" t="str">
        <x:v>Years of being dismissed, ignored and belittled: Endometriosis UK diagnosis report</x:v>
      </x:c>
      <x:c r="G77" s="19" t="str">
        <x:v>https://www.endometriosis-uk.org/diagnosis-report</x:v>
      </x:c>
      <x:c r="H77" s="19" t="str">
        <x:v>advocacy survey / patient voice</x:v>
      </x:c>
      <x:c r="I77" s="19" t="str">
        <x:v>unknown</x:v>
      </x:c>
      <x:c r="J77" s="19" t="str">
        <x:v>2024; accessed 2026-05-30</x:v>
      </x:c>
      <x:c r="K77" s="19" t="str">
        <x:v>2026-05-30</x:v>
      </x:c>
      <x:c r="L77" s="19" t="str">
        <x:v>UK</x:v>
      </x:c>
      <x:c r="M77" s="19" t="str">
        <x:v>primary care / specialist referral</x:v>
      </x:c>
      <x:c r="N77" s="19" t="str">
        <x:v>medium</x:v>
      </x:c>
      <x:c r="O77" s="19" t="str">
        <x:v>Survey of 4,371 people showing long diagnostic delay, repeated GP visits, ED attendance and dismissal.</x:v>
      </x:c>
      <x:c r="P77" s="19" t="str">
        <x:v>01_sources/raw_sources/other/s22_years_of_being_dismissed__ignored_and_belittled__endome.md</x:v>
      </x:c>
      <x:c r="Q77" s="19" t="str">
        <x:v>metadata taken from completed workbook; author/org not normalized</x:v>
      </x:c>
      <x:c r="R77" s="19" t="str">
        <x:v>2026-05-30</x:v>
      </x:c>
    </x:row>
    <x:row r="78">
      <x:c r="A78" s="19" t="str">
        <x:v>research_evidence_package_health_system_patient_flows_2026-05-30.tar.gz</x:v>
      </x:c>
      <x:c r="B78" s="19" t="str">
        <x:v>Research A / health-system patient flows</x:v>
      </x:c>
      <x:c r="C78" s="19" t="str">
        <x:v>research_evidence_package_health_system_patient_flows_2026-05-30.tar.gz::S23</x:v>
      </x:c>
      <x:c r="D78" s="19" t="str">
        <x:v>S23</x:v>
      </x:c>
      <x:c r="E78" s="19" t="str">
        <x:v>Real health-system patient flows for identifying health issues</x:v>
      </x:c>
      <x:c r="F78" s="19" t="str">
        <x:v>The impact of waiting for care</x:v>
      </x:c>
      <x:c r="G78" s="19" t="str">
        <x:v>https://www.healthwatch.co.uk/report/2023-10-03/impact-waiting-care</x:v>
      </x:c>
      <x:c r="H78" s="19" t="str">
        <x:v>patient voice / public health-system report</x:v>
      </x:c>
      <x:c r="I78" s="19" t="str">
        <x:v>unknown</x:v>
      </x:c>
      <x:c r="J78" s="19" t="str">
        <x:v>3 Oct 2023</x:v>
      </x:c>
      <x:c r="K78" s="19" t="str">
        <x:v>2026-05-30</x:v>
      </x:c>
      <x:c r="L78" s="19" t="str">
        <x:v>England</x:v>
      </x:c>
      <x:c r="M78" s="19" t="str">
        <x:v>primary care / specialist referral</x:v>
      </x:c>
      <x:c r="N78" s="19" t="str">
        <x:v>medium</x:v>
      </x:c>
      <x:c r="O78" s="19" t="str">
        <x:v>Patients describe waits after GP referral, poor result communication and limited GP ability to expedite specialist care.</x:v>
      </x:c>
      <x:c r="P78" s="19" t="str">
        <x:v>01_sources/raw_sources/reports/s23_the_impact_of_waiting_for_care.md</x:v>
      </x:c>
      <x:c r="Q78" s="19" t="str">
        <x:v>metadata taken from completed workbook; author/org not normalized</x:v>
      </x:c>
      <x:c r="R78" s="19" t="str">
        <x:v>2026-05-30</x:v>
      </x:c>
    </x:row>
    <x:row r="79">
      <x:c r="A79" s="19" t="str">
        <x:v>research_evidence_package_health_system_patient_flows_2026-05-30.tar.gz</x:v>
      </x:c>
      <x:c r="B79" s="19" t="str">
        <x:v>Research A / health-system patient flows</x:v>
      </x:c>
      <x:c r="C79" s="19" t="str">
        <x:v>research_evidence_package_health_system_patient_flows_2026-05-30.tar.gz::S24</x:v>
      </x:c>
      <x:c r="D79" s="19" t="str">
        <x:v>S24</x:v>
      </x:c>
      <x:c r="E79" s="19" t="str">
        <x:v>Real health-system patient flows for identifying health issues</x:v>
      </x:c>
      <x:c r="F79" s="19" t="str">
        <x:v>Patients being harmed due to repeated mistakes in reading scans</x:v>
      </x:c>
      <x:c r="G79" s="19" t="str">
        <x:v>https://www.ombudsman.org.uk/news-and-blog/news/patients-being-harmed-due-repeated-mistakes-reading-scans</x:v>
      </x:c>
      <x:c r="H79" s="19" t="str">
        <x:v>ombudsman patient-safety report</x:v>
      </x:c>
      <x:c r="I79" s="19" t="str">
        <x:v>unknown</x:v>
      </x:c>
      <x:c r="J79" s="19" t="str">
        <x:v>20 Mar 2025</x:v>
      </x:c>
      <x:c r="K79" s="19" t="str">
        <x:v>2026-05-30</x:v>
      </x:c>
      <x:c r="L79" s="19" t="str">
        <x:v>England</x:v>
      </x:c>
      <x:c r="M79" s="19" t="str">
        <x:v>imaging / ED / hospital outpatient</x:v>
      </x:c>
      <x:c r="N79" s="19" t="str">
        <x:v>high</x:v>
      </x:c>
      <x:c r="O79" s="19" t="str">
        <x:v>More than 40 upheld/partly upheld scan cases; errors in reading, carrying out, and follow-up of scans.</x:v>
      </x:c>
      <x:c r="P79" s="19" t="str">
        <x:v>01_sources/raw_sources/reports/s24_patients_being_harmed_due_to_repeated_mistakes_in_readi.md</x:v>
      </x:c>
      <x:c r="Q79" s="19" t="str">
        <x:v>metadata taken from completed workbook; author/org not normalized</x:v>
      </x:c>
      <x:c r="R79" s="19" t="str">
        <x:v>2026-05-30</x:v>
      </x:c>
    </x:row>
    <x:row r="80">
      <x:c r="A80" s="19" t="str">
        <x:v>research_evidence_package_health_system_patient_flows_2026-05-30.tar.gz</x:v>
      </x:c>
      <x:c r="B80" s="19" t="str">
        <x:v>Research A / health-system patient flows</x:v>
      </x:c>
      <x:c r="C80" s="19" t="str">
        <x:v>research_evidence_package_health_system_patient_flows_2026-05-30.tar.gz::S25</x:v>
      </x:c>
      <x:c r="D80" s="19" t="str">
        <x:v>S25</x:v>
      </x:c>
      <x:c r="E80" s="19" t="str">
        <x:v>Real health-system patient flows for identifying health issues</x:v>
      </x:c>
      <x:c r="F80" s="19" t="str">
        <x:v>Failures in communication or follow-up of unexpected significant radiological findings</x:v>
      </x:c>
      <x:c r="G80" s="19" t="str">
        <x:v>https://www.hssib.org.uk/patient-safety-investigations/failures-in-communication-or-follow-up-of-unexpected-significant-radiological-findings/</x:v>
      </x:c>
      <x:c r="H80" s="19" t="str">
        <x:v>patient safety investigation</x:v>
      </x:c>
      <x:c r="I80" s="19" t="str">
        <x:v>unknown</x:v>
      </x:c>
      <x:c r="J80" s="19" t="str">
        <x:v>2019; accessed 2026-05-30</x:v>
      </x:c>
      <x:c r="K80" s="19" t="str">
        <x:v>2026-05-30</x:v>
      </x:c>
      <x:c r="L80" s="19" t="str">
        <x:v>England</x:v>
      </x:c>
      <x:c r="M80" s="19" t="str">
        <x:v>radiology / ED / primary care</x:v>
      </x:c>
      <x:c r="N80" s="19" t="str">
        <x:v>high</x:v>
      </x:c>
      <x:c r="O80" s="19" t="str">
        <x:v>Unexpected chest imaging finding not reliably communicated or acted on; acknowledgement/read-receipt weaknesses.</x:v>
      </x:c>
      <x:c r="P80" s="19" t="str">
        <x:v>01_sources/raw_sources/reports/s25_failures_in_communication_or_follow_up_of_unexpected_si.md</x:v>
      </x:c>
      <x:c r="Q80" s="19" t="str">
        <x:v>metadata taken from completed workbook; author/org not normalized</x:v>
      </x:c>
      <x:c r="R80" s="19" t="str">
        <x:v>2026-05-30</x:v>
      </x:c>
    </x:row>
    <x:row r="81">
      <x:c r="A81" s="19" t="str">
        <x:v>research_evidence_package_health_system_patient_flows_2026-05-30.tar.gz</x:v>
      </x:c>
      <x:c r="B81" s="19" t="str">
        <x:v>Research A / health-system patient flows</x:v>
      </x:c>
      <x:c r="C81" s="19" t="str">
        <x:v>research_evidence_package_health_system_patient_flows_2026-05-30.tar.gz::S26</x:v>
      </x:c>
      <x:c r="D81" s="19" t="str">
        <x:v>S26</x:v>
      </x:c>
      <x:c r="E81" s="19" t="str">
        <x:v>Real health-system patient flows for identifying health issues</x:v>
      </x:c>
      <x:c r="F81" s="19" t="str">
        <x:v>Core Elements of Hospital Diagnostic Excellence</x:v>
      </x:c>
      <x:c r="G81" s="19" t="str">
        <x:v>https://www.cdc.gov/patient-safety/hcp/hospital-dx-excellence/index.html</x:v>
      </x:c>
      <x:c r="H81" s="19" t="str">
        <x:v>public health guidance</x:v>
      </x:c>
      <x:c r="I81" s="19" t="str">
        <x:v>unknown</x:v>
      </x:c>
      <x:c r="J81" s="19" t="str">
        <x:v>2026; accessed 2026-05-30</x:v>
      </x:c>
      <x:c r="K81" s="19" t="str">
        <x:v>2026-05-30</x:v>
      </x:c>
      <x:c r="L81" s="19" t="str">
        <x:v>US</x:v>
      </x:c>
      <x:c r="M81" s="19" t="str">
        <x:v>hospital inpatient/outpatient</x:v>
      </x:c>
      <x:c r="N81" s="19" t="str">
        <x:v>high</x:v>
      </x:c>
      <x:c r="O81" s="19" t="str">
        <x:v>Hospital diagnostic excellence framework including tests pending at discharge and imaging follow-up.</x:v>
      </x:c>
      <x:c r="P81" s="19" t="str">
        <x:v>01_sources/raw_sources/guidelines/s26_core_elements_of_hospital_diagnostic_excellence.md</x:v>
      </x:c>
      <x:c r="Q81" s="19" t="str">
        <x:v>metadata taken from completed workbook; author/org not normalized</x:v>
      </x:c>
      <x:c r="R81" s="19" t="str">
        <x:v>2026-05-30</x:v>
      </x:c>
    </x:row>
    <x:row r="82">
      <x:c r="A82" s="19" t="str">
        <x:v>research_evidence_package_health_system_patient_flows_2026-05-30.tar.gz</x:v>
      </x:c>
      <x:c r="B82" s="19" t="str">
        <x:v>Research A / health-system patient flows</x:v>
      </x:c>
      <x:c r="C82" s="19" t="str">
        <x:v>research_evidence_package_health_system_patient_flows_2026-05-30.tar.gz::S27</x:v>
      </x:c>
      <x:c r="D82" s="19" t="str">
        <x:v>S27</x:v>
      </x:c>
      <x:c r="E82" s="19" t="str">
        <x:v>Real health-system patient flows for identifying health issues</x:v>
      </x:c>
      <x:c r="F82" s="19" t="str">
        <x:v>Referral Assessment Services - NHS e-Referral Service</x:v>
      </x:c>
      <x:c r="G82" s="19" t="str">
        <x:v>https://digital.nhs.uk/services/e-referral-service/document-library/referral-assessment-services</x:v>
      </x:c>
      <x:c r="H82" s="19" t="str">
        <x:v>digital referral service guidance</x:v>
      </x:c>
      <x:c r="I82" s="19" t="str">
        <x:v>unknown</x:v>
      </x:c>
      <x:c r="J82" s="19" t="str">
        <x:v>2025; accessed 2026-05-30</x:v>
      </x:c>
      <x:c r="K82" s="19" t="str">
        <x:v>2026-05-30</x:v>
      </x:c>
      <x:c r="L82" s="19" t="str">
        <x:v>England</x:v>
      </x:c>
      <x:c r="M82" s="19" t="str">
        <x:v>specialist referral</x:v>
      </x:c>
      <x:c r="N82" s="19" t="str">
        <x:v>high</x:v>
      </x:c>
      <x:c r="O82" s="19" t="str">
        <x:v>Provider triage before booking; return advice, request more information, redirect or book.</x:v>
      </x:c>
      <x:c r="P82" s="19" t="str">
        <x:v>01_sources/raw_sources/guidelines/s27_referral_assessment_services___nhs_e_referral_service.md</x:v>
      </x:c>
      <x:c r="Q82" s="19" t="str">
        <x:v>metadata taken from completed workbook; author/org not normalized</x:v>
      </x:c>
      <x:c r="R82" s="19" t="str">
        <x:v>2026-05-30</x:v>
      </x:c>
    </x:row>
    <x:row r="83">
      <x:c r="A83" s="19" t="str">
        <x:v>research_evidence_package_health_system_patient_flows_2026-05-30.tar.gz</x:v>
      </x:c>
      <x:c r="B83" s="19" t="str">
        <x:v>Research A / health-system patient flows</x:v>
      </x:c>
      <x:c r="C83" s="19" t="str">
        <x:v>research_evidence_package_health_system_patient_flows_2026-05-30.tar.gz::S28</x:v>
      </x:c>
      <x:c r="D83" s="19" t="str">
        <x:v>S28</x:v>
      </x:c>
      <x:c r="E83" s="19" t="str">
        <x:v>Real health-system patient flows for identifying health issues</x:v>
      </x:c>
      <x:c r="F83" s="19" t="str">
        <x:v>Diagnostic services - NHS e-Referral Service</x:v>
      </x:c>
      <x:c r="G83" s="19" t="str">
        <x:v>https://digital.nhs.uk/services/e-referral-service/document-library/diagnostic-services</x:v>
      </x:c>
      <x:c r="H83" s="19" t="str">
        <x:v>digital referral service guidance</x:v>
      </x:c>
      <x:c r="I83" s="19" t="str">
        <x:v>unknown</x:v>
      </x:c>
      <x:c r="J83" s="19" t="str">
        <x:v>accessed 2026-05-30</x:v>
      </x:c>
      <x:c r="K83" s="19" t="str">
        <x:v>2026-05-30</x:v>
      </x:c>
      <x:c r="L83" s="19" t="str">
        <x:v>England</x:v>
      </x:c>
      <x:c r="M83" s="19" t="str">
        <x:v>diagnostic / outpatient</x:v>
      </x:c>
      <x:c r="N83" s="19" t="str">
        <x:v>medium</x:v>
      </x:c>
      <x:c r="O83" s="19" t="str">
        <x:v>Direct-to-test and clinical assessment service models; responsibility for appropriateness of diagnostic requests.</x:v>
      </x:c>
      <x:c r="P83" s="19" t="str">
        <x:v>01_sources/raw_sources/guidelines/s28_diagnostic_services___nhs_e_referral_service.md</x:v>
      </x:c>
      <x:c r="Q83" s="19" t="str">
        <x:v>metadata taken from completed workbook; author/org not normalized</x:v>
      </x:c>
      <x:c r="R83" s="19" t="str">
        <x:v>2026-05-30</x:v>
      </x:c>
    </x:row>
    <x:row r="84">
      <x:c r="A84" s="19" t="str">
        <x:v>research_evidence_package_health_system_patient_flows_2026-05-30.tar.gz</x:v>
      </x:c>
      <x:c r="B84" s="19" t="str">
        <x:v>Research A / health-system patient flows</x:v>
      </x:c>
      <x:c r="C84" s="19" t="str">
        <x:v>research_evidence_package_health_system_patient_flows_2026-05-30.tar.gz::S29</x:v>
      </x:c>
      <x:c r="D84" s="19" t="str">
        <x:v>S29</x:v>
      </x:c>
      <x:c r="E84" s="19" t="str">
        <x:v>Real health-system patient flows for identifying health issues</x:v>
      </x:c>
      <x:c r="F84" s="19" t="str">
        <x:v>Outpatient recovery and transformation improvement guide</x:v>
      </x:c>
      <x:c r="G84" s="19" t="str">
        <x:v>https://www.england.nhs.uk/long-read/outpatient-recovery-and-transformation-improvement-guide/</x:v>
      </x:c>
      <x:c r="H84" s="19" t="str">
        <x:v>operational improvement guide</x:v>
      </x:c>
      <x:c r="I84" s="19" t="str">
        <x:v>unknown</x:v>
      </x:c>
      <x:c r="J84" s="19" t="str">
        <x:v>accessed 2026-05-30</x:v>
      </x:c>
      <x:c r="K84" s="19" t="str">
        <x:v>2026-05-30</x:v>
      </x:c>
      <x:c r="L84" s="19" t="str">
        <x:v>England</x:v>
      </x:c>
      <x:c r="M84" s="19" t="str">
        <x:v>hospital outpatient / specialist</x:v>
      </x:c>
      <x:c r="N84" s="19" t="str">
        <x:v>medium</x:v>
      </x:c>
      <x:c r="O84" s="19" t="str">
        <x:v>Advice/guidance, referral optimisation, straight-to-test pathways and outpatient transformation case examples.</x:v>
      </x:c>
      <x:c r="P84" s="19" t="str">
        <x:v>01_sources/raw_sources/other/s29_outpatient_recovery_and_transformation_improvement_guid.md</x:v>
      </x:c>
      <x:c r="Q84" s="19" t="str">
        <x:v>metadata taken from completed workbook; author/org not normalized</x:v>
      </x:c>
      <x:c r="R84" s="19" t="str">
        <x:v>2026-05-30</x:v>
      </x:c>
    </x:row>
    <x:row r="85">
      <x:c r="A85" s="19" t="str">
        <x:v>research_evidence_package_health_system_patient_flows_2026-05-30.tar.gz</x:v>
      </x:c>
      <x:c r="B85" s="19" t="str">
        <x:v>Research A / health-system patient flows</x:v>
      </x:c>
      <x:c r="C85" s="19" t="str">
        <x:v>research_evidence_package_health_system_patient_flows_2026-05-30.tar.gz::S30</x:v>
      </x:c>
      <x:c r="D85" s="19" t="str">
        <x:v>S30</x:v>
      </x:c>
      <x:c r="E85" s="19" t="str">
        <x:v>Real health-system patient flows for identifying health issues</x:v>
      </x:c>
      <x:c r="F85" s="19" t="str">
        <x:v>Health Center Program Compliance Manual: Continuity of Care and Hospital Admitting</x:v>
      </x:c>
      <x:c r="G85" s="19" t="str">
        <x:v>https://bphc.hrsa.gov/compliance/compliance-manual/chapter7</x:v>
      </x:c>
      <x:c r="H85" s="19" t="str">
        <x:v>federal compliance guidance</x:v>
      </x:c>
      <x:c r="I85" s="19" t="str">
        <x:v>unknown</x:v>
      </x:c>
      <x:c r="J85" s="19" t="str">
        <x:v>accessed 2026-05-30</x:v>
      </x:c>
      <x:c r="K85" s="19" t="str">
        <x:v>2026-05-30</x:v>
      </x:c>
      <x:c r="L85" s="19" t="str">
        <x:v>US</x:v>
      </x:c>
      <x:c r="M85" s="19" t="str">
        <x:v>community health center / FQHC</x:v>
      </x:c>
      <x:c r="N85" s="19" t="str">
        <x:v>high</x:v>
      </x:c>
      <x:c r="O85" s="19" t="str">
        <x:v>Requires referral/hospital relationships and receipt/recording of ED/hospital info for follow-up.</x:v>
      </x:c>
      <x:c r="P85" s="19" t="str">
        <x:v>01_sources/raw_sources/guidelines/s30_health_center_program_compliance_manual__continuity_of.md</x:v>
      </x:c>
      <x:c r="Q85" s="19" t="str">
        <x:v>metadata taken from completed workbook; author/org not normalized</x:v>
      </x:c>
      <x:c r="R85" s="19" t="str">
        <x:v>2026-05-30</x:v>
      </x:c>
    </x:row>
    <x:row r="86">
      <x:c r="A86" s="19" t="str">
        <x:v>research_evidence_package_health_system_patient_flows_2026-05-30.tar.gz</x:v>
      </x:c>
      <x:c r="B86" s="19" t="str">
        <x:v>Research A / health-system patient flows</x:v>
      </x:c>
      <x:c r="C86" s="19" t="str">
        <x:v>research_evidence_package_health_system_patient_flows_2026-05-30.tar.gz::S31</x:v>
      </x:c>
      <x:c r="D86" s="19" t="str">
        <x:v>S31</x:v>
      </x:c>
      <x:c r="E86" s="19" t="str">
        <x:v>Real health-system patient flows for identifying health issues</x:v>
      </x:c>
      <x:c r="F86" s="19" t="str">
        <x:v>Health Center Program: Patient-Centered Medical Home</x:v>
      </x:c>
      <x:c r="G86" s="19" t="str">
        <x:v>https://bphc.hrsa.gov/technical-assistance/clinical-quality-improvement/patient-centered-medical-home</x:v>
      </x:c>
      <x:c r="H86" s="19" t="str">
        <x:v>federal program guidance</x:v>
      </x:c>
      <x:c r="I86" s="19" t="str">
        <x:v>unknown</x:v>
      </x:c>
      <x:c r="J86" s="19" t="str">
        <x:v>accessed 2026-05-30</x:v>
      </x:c>
      <x:c r="K86" s="19" t="str">
        <x:v>2026-05-30</x:v>
      </x:c>
      <x:c r="L86" s="19" t="str">
        <x:v>US</x:v>
      </x:c>
      <x:c r="M86" s="19" t="str">
        <x:v>community health center / FQHC</x:v>
      </x:c>
      <x:c r="N86" s="19" t="str">
        <x:v>medium</x:v>
      </x:c>
      <x:c r="O86" s="19" t="str">
        <x:v>Care coordination and quality-improvement recognition for health centers.</x:v>
      </x:c>
      <x:c r="P86" s="19" t="str">
        <x:v>01_sources/raw_sources/guidelines/s31_health_center_program__patient_centered_medical_home.md</x:v>
      </x:c>
      <x:c r="Q86" s="19" t="str">
        <x:v>metadata taken from completed workbook; author/org not normalized</x:v>
      </x:c>
      <x:c r="R86" s="19" t="str">
        <x:v>2026-05-30</x:v>
      </x:c>
    </x:row>
    <x:row r="87">
      <x:c r="A87" s="19" t="str">
        <x:v>research_evidence_package_health_system_patient_flows_2026-05-30.tar.gz</x:v>
      </x:c>
      <x:c r="B87" s="19" t="str">
        <x:v>Research A / health-system patient flows</x:v>
      </x:c>
      <x:c r="C87" s="19" t="str">
        <x:v>research_evidence_package_health_system_patient_flows_2026-05-30.tar.gz::S32</x:v>
      </x:c>
      <x:c r="D87" s="19" t="str">
        <x:v>S32</x:v>
      </x:c>
      <x:c r="E87" s="19" t="str">
        <x:v>Real health-system patient flows for identifying health issues</x:v>
      </x:c>
      <x:c r="F87" s="19" t="str">
        <x:v>Reach and effectiveness of a centralized navigation program for patients with positive FITs</x:v>
      </x:c>
      <x:c r="G87" s="19" t="str">
        <x:v>https://www.sciencedirect.com/science/article/pii/S221133552300102X</x:v>
      </x:c>
      <x:c r="H87" s="19" t="str">
        <x:v>peer-reviewed implementation study</x:v>
      </x:c>
      <x:c r="I87" s="19" t="str">
        <x:v>unknown</x:v>
      </x:c>
      <x:c r="J87" s="19" t="str">
        <x:v>2023</x:v>
      </x:c>
      <x:c r="K87" s="19" t="str">
        <x:v>2026-05-30</x:v>
      </x:c>
      <x:c r="L87" s="19" t="str">
        <x:v>US: North Carolina</x:v>
      </x:c>
      <x:c r="M87" s="19" t="str">
        <x:v>FQHC / screening</x:v>
      </x:c>
      <x:c r="N87" s="19" t="str">
        <x:v>medium</x:v>
      </x:c>
      <x:c r="O87" s="19" t="str">
        <x:v>Patient navigation after abnormal FIT in safety-net FQHCs; barriers and colonoscopy completion.</x:v>
      </x:c>
      <x:c r="P87" s="19" t="str">
        <x:v>01_sources/raw_sources/articles/s32_reach_and_effectiveness_of_a_centralized_navigation_pro.md</x:v>
      </x:c>
      <x:c r="Q87" s="19" t="str">
        <x:v>metadata taken from completed workbook; author/org not normalized</x:v>
      </x:c>
      <x:c r="R87" s="19" t="str">
        <x:v>2026-05-30</x:v>
      </x:c>
    </x:row>
    <x:row r="88">
      <x:c r="A88" s="19" t="str">
        <x:v>research_evidence_package_health_system_patient_flows_2026-05-30.tar.gz</x:v>
      </x:c>
      <x:c r="B88" s="19" t="str">
        <x:v>Research A / health-system patient flows</x:v>
      </x:c>
      <x:c r="C88" s="19" t="str">
        <x:v>research_evidence_package_health_system_patient_flows_2026-05-30.tar.gz::S33</x:v>
      </x:c>
      <x:c r="D88" s="19" t="str">
        <x:v>S33</x:v>
      </x:c>
      <x:c r="E88" s="19" t="str">
        <x:v>Real health-system patient flows for identifying health issues</x:v>
      </x:c>
      <x:c r="F88" s="19" t="str">
        <x:v>Implementing a successful patient navigation program for follow-up colonoscopy after abnormal FIT</x:v>
      </x:c>
      <x:c r="G88" s="19" t="str">
        <x:v>https://journals.plos.org/plosone/article?id=10.1371/journal.pone.0343659</x:v>
      </x:c>
      <x:c r="H88" s="19" t="str">
        <x:v>peer-reviewed implementation study</x:v>
      </x:c>
      <x:c r="I88" s="19" t="str">
        <x:v>unknown</x:v>
      </x:c>
      <x:c r="J88" s="19" t="str">
        <x:v>2026</x:v>
      </x:c>
      <x:c r="K88" s="19" t="str">
        <x:v>2026-05-30</x:v>
      </x:c>
      <x:c r="L88" s="19" t="str">
        <x:v>US: Washington state</x:v>
      </x:c>
      <x:c r="M88" s="19" t="str">
        <x:v>FQHC / screening</x:v>
      </x:c>
      <x:c r="N88" s="19" t="str">
        <x:v>medium</x:v>
      </x:c>
      <x:c r="O88" s="19" t="str">
        <x:v>PRECISE trial lessons: navigator training, workload, documentation, GI partnerships, unified tracking.</x:v>
      </x:c>
      <x:c r="P88" s="19" t="str">
        <x:v>01_sources/raw_sources/articles/s33_implementing_a_successful_patient_navigation_program_fo.md</x:v>
      </x:c>
      <x:c r="Q88" s="19" t="str">
        <x:v>metadata taken from completed workbook; author/org not normalized</x:v>
      </x:c>
      <x:c r="R88" s="19" t="str">
        <x:v>2026-05-30</x:v>
      </x:c>
    </x:row>
    <x:row r="89">
      <x:c r="A89" s="19" t="str">
        <x:v>research_evidence_package_health_system_patient_flows_2026-05-30.tar.gz</x:v>
      </x:c>
      <x:c r="B89" s="19" t="str">
        <x:v>Research A / health-system patient flows</x:v>
      </x:c>
      <x:c r="C89" s="19" t="str">
        <x:v>research_evidence_package_health_system_patient_flows_2026-05-30.tar.gz::S34</x:v>
      </x:c>
      <x:c r="D89" s="19" t="str">
        <x:v>S34</x:v>
      </x:c>
      <x:c r="E89" s="19" t="str">
        <x:v>Real health-system patient flows for identifying health issues</x:v>
      </x:c>
      <x:c r="F89" s="19" t="str">
        <x:v>Bowel cancer screening</x:v>
      </x:c>
      <x:c r="G89" s="19" t="str">
        <x:v>https://www.nhs.uk/tests-and-treatments/bowel-cancer-screening/</x:v>
      </x:c>
      <x:c r="H89" s="19" t="str">
        <x:v>patient-facing screening pathway</x:v>
      </x:c>
      <x:c r="I89" s="19" t="str">
        <x:v>unknown</x:v>
      </x:c>
      <x:c r="J89" s="19" t="str">
        <x:v>reviewed 11 Oct 2024; accessed 2026-05-30</x:v>
      </x:c>
      <x:c r="K89" s="19" t="str">
        <x:v>2026-05-30</x:v>
      </x:c>
      <x:c r="L89" s="19" t="str">
        <x:v>England</x:v>
      </x:c>
      <x:c r="M89" s="19" t="str">
        <x:v>public health screening</x:v>
      </x:c>
      <x:c r="N89" s="19" t="str">
        <x:v>high</x:v>
      </x:c>
      <x:c r="O89" s="19" t="str">
        <x:v>Home FIT kits, result timing, specialist nurse/colonoscopy after further tests, symptoms despite negative screen.</x:v>
      </x:c>
      <x:c r="P89" s="19" t="str">
        <x:v>01_sources/raw_sources/guidelines/s34_bowel_cancer_screening.md</x:v>
      </x:c>
      <x:c r="Q89" s="19" t="str">
        <x:v>metadata taken from completed workbook; author/org not normalized</x:v>
      </x:c>
      <x:c r="R89" s="19" t="str">
        <x:v>2026-05-30</x:v>
      </x:c>
    </x:row>
    <x:row r="90">
      <x:c r="A90" s="19" t="str">
        <x:v>research_evidence_package_health_system_patient_flows_2026-05-30.tar.gz</x:v>
      </x:c>
      <x:c r="B90" s="19" t="str">
        <x:v>Research A / health-system patient flows</x:v>
      </x:c>
      <x:c r="C90" s="19" t="str">
        <x:v>research_evidence_package_health_system_patient_flows_2026-05-30.tar.gz::S35</x:v>
      </x:c>
      <x:c r="D90" s="19" t="str">
        <x:v>S35</x:v>
      </x:c>
      <x:c r="E90" s="19" t="str">
        <x:v>Real health-system patient flows for identifying health issues</x:v>
      </x:c>
      <x:c r="F90" s="19" t="str">
        <x:v>Breast screening programme: pathway requirements</x:v>
      </x:c>
      <x:c r="G90" s="19" t="str">
        <x:v>https://www.gov.uk/government/publications/breast-screening-programme-pathway-requirements/breast-screening-programme-pathway-requirements</x:v>
      </x:c>
      <x:c r="H90" s="19" t="str">
        <x:v>national screening pathway</x:v>
      </x:c>
      <x:c r="I90" s="19" t="str">
        <x:v>unknown</x:v>
      </x:c>
      <x:c r="J90" s="19" t="str">
        <x:v>accessed 2026-05-30</x:v>
      </x:c>
      <x:c r="K90" s="19" t="str">
        <x:v>2026-05-30</x:v>
      </x:c>
      <x:c r="L90" s="19" t="str">
        <x:v>England</x:v>
      </x:c>
      <x:c r="M90" s="19" t="str">
        <x:v>public health screening</x:v>
      </x:c>
      <x:c r="N90" s="19" t="str">
        <x:v>high</x:v>
      </x:c>
      <x:c r="O90" s="19" t="str">
        <x:v>Batch invitations, attendance, mammography reporting, recall/non-attendance, assessment clinic and MDT after abnormal tests.</x:v>
      </x:c>
      <x:c r="P90" s="19" t="str">
        <x:v>01_sources/raw_sources/guidelines/s35_breast_screening_programme__pathway_requirements.md</x:v>
      </x:c>
      <x:c r="Q90" s="19" t="str">
        <x:v>metadata taken from completed workbook; author/org not normalized</x:v>
      </x:c>
      <x:c r="R90" s="19" t="str">
        <x:v>2026-05-30</x:v>
      </x:c>
    </x:row>
    <x:row r="91">
      <x:c r="A91" s="19" t="str">
        <x:v>research_evidence_package_health_system_patient_flows_2026-05-30.tar.gz</x:v>
      </x:c>
      <x:c r="B91" s="19" t="str">
        <x:v>Research A / health-system patient flows</x:v>
      </x:c>
      <x:c r="C91" s="19" t="str">
        <x:v>research_evidence_package_health_system_patient_flows_2026-05-30.tar.gz::S36</x:v>
      </x:c>
      <x:c r="D91" s="19" t="str">
        <x:v>S36</x:v>
      </x:c>
      <x:c r="E91" s="19" t="str">
        <x:v>Real health-system patient flows for identifying health issues</x:v>
      </x:c>
      <x:c r="F91" s="19" t="str">
        <x:v>Cervical screening programme: pathway requirements</x:v>
      </x:c>
      <x:c r="G91" s="19" t="str">
        <x:v>https://www.gov.uk/government/publications/cervical-screening-programme-pathway-requirements/cervical-screening-programme-pathway-requirements</x:v>
      </x:c>
      <x:c r="H91" s="19" t="str">
        <x:v>national screening pathway</x:v>
      </x:c>
      <x:c r="I91" s="19" t="str">
        <x:v>unknown</x:v>
      </x:c>
      <x:c r="J91" s="19" t="str">
        <x:v>accessed 2026-05-30</x:v>
      </x:c>
      <x:c r="K91" s="19" t="str">
        <x:v>2026-05-30</x:v>
      </x:c>
      <x:c r="L91" s="19" t="str">
        <x:v>England</x:v>
      </x:c>
      <x:c r="M91" s="19" t="str">
        <x:v>public health screening</x:v>
      </x:c>
      <x:c r="N91" s="19" t="str">
        <x:v>high</x:v>
      </x:c>
      <x:c r="O91" s="19" t="str">
        <x:v>HPV/cytology-based recall, colposcopy and treatment flow.</x:v>
      </x:c>
      <x:c r="P91" s="19" t="str">
        <x:v>01_sources/raw_sources/guidelines/s36_cervical_screening_programme__pathway_requirements.md</x:v>
      </x:c>
      <x:c r="Q91" s="19" t="str">
        <x:v>metadata taken from completed workbook; author/org not normalized</x:v>
      </x:c>
      <x:c r="R91" s="19" t="str">
        <x:v>2026-05-30</x:v>
      </x:c>
    </x:row>
    <x:row r="92">
      <x:c r="A92" s="19" t="str">
        <x:v>research_evidence_package_health_system_patient_flows_2026-05-30.tar.gz</x:v>
      </x:c>
      <x:c r="B92" s="19" t="str">
        <x:v>Research A / health-system patient flows</x:v>
      </x:c>
      <x:c r="C92" s="19" t="str">
        <x:v>research_evidence_package_health_system_patient_flows_2026-05-30.tar.gz::S37</x:v>
      </x:c>
      <x:c r="D92" s="19" t="str">
        <x:v>S37</x:v>
      </x:c>
      <x:c r="E92" s="19" t="str">
        <x:v>Real health-system patient flows for identifying health issues</x:v>
      </x:c>
      <x:c r="F92" s="19" t="str">
        <x:v>Patient Navigation</x:v>
      </x:c>
      <x:c r="G92" s="19" t="str">
        <x:v>https://www.cdc.gov/cancer/php/interventions/patient-navigation.html</x:v>
      </x:c>
      <x:c r="H92" s="19" t="str">
        <x:v>public health guidance</x:v>
      </x:c>
      <x:c r="I92" s="19" t="str">
        <x:v>unknown</x:v>
      </x:c>
      <x:c r="J92" s="19" t="str">
        <x:v>accessed 2026-05-30</x:v>
      </x:c>
      <x:c r="K92" s="19" t="str">
        <x:v>2026-05-30</x:v>
      </x:c>
      <x:c r="L92" s="19" t="str">
        <x:v>US</x:v>
      </x:c>
      <x:c r="M92" s="19" t="str">
        <x:v>screening / community</x:v>
      </x:c>
      <x:c r="N92" s="19" t="str">
        <x:v>high</x:v>
      </x:c>
      <x:c r="O92" s="19" t="str">
        <x:v>Navigator role addresses transport, caregiving, understanding, language, mistrust and fear barriers.</x:v>
      </x:c>
      <x:c r="P92" s="19" t="str">
        <x:v>01_sources/raw_sources/guidelines/s37_patient_navigation.md</x:v>
      </x:c>
      <x:c r="Q92" s="19" t="str">
        <x:v>metadata taken from completed workbook; author/org not normalized</x:v>
      </x:c>
      <x:c r="R92" s="19" t="str">
        <x:v>2026-05-30</x:v>
      </x:c>
    </x:row>
    <x:row r="93">
      <x:c r="A93" s="19" t="str">
        <x:v>research_evidence_package_health_system_patient_flows_2026-05-30.tar.gz</x:v>
      </x:c>
      <x:c r="B93" s="19" t="str">
        <x:v>Research A / health-system patient flows</x:v>
      </x:c>
      <x:c r="C93" s="19" t="str">
        <x:v>research_evidence_package_health_system_patient_flows_2026-05-30.tar.gz::S38</x:v>
      </x:c>
      <x:c r="D93" s="19" t="str">
        <x:v>S38</x:v>
      </x:c>
      <x:c r="E93" s="19" t="str">
        <x:v>Real health-system patient flows for identifying health issues</x:v>
      </x:c>
      <x:c r="F93" s="19" t="str">
        <x:v>Ayushman Bharat: Comprehensive Primary Health Care through Health and Wellness Centres</x:v>
      </x:c>
      <x:c r="G93" s="19" t="str">
        <x:v>https://aam.mohfw.gov.in/download/document/45a4ab64b74ab124cfd853ec9a0127e4.pdf</x:v>
      </x:c>
      <x:c r="H93" s="19" t="str">
        <x:v>government operational guidelines</x:v>
      </x:c>
      <x:c r="I93" s="19" t="str">
        <x:v>unknown</x:v>
      </x:c>
      <x:c r="J93" s="19" t="str">
        <x:v>2018; accessed 2026-05-30</x:v>
      </x:c>
      <x:c r="K93" s="19" t="str">
        <x:v>2026-05-30</x:v>
      </x:c>
      <x:c r="L93" s="19" t="str">
        <x:v>India</x:v>
      </x:c>
      <x:c r="M93" s="19" t="str">
        <x:v>community health center / rural clinic</x:v>
      </x:c>
      <x:c r="N93" s="19" t="str">
        <x:v>high</x:v>
      </x:c>
      <x:c r="O93" s="19" t="str">
        <x:v>Population empanelment, ASHA/CHO roles, screening age 30+, follow-up and referral.</x:v>
      </x:c>
      <x:c r="P93" s="19" t="str">
        <x:v>01_sources/raw_sources/guidelines/s38_ayushman_bharat__comprehensive_primary_health_care_thro.md</x:v>
      </x:c>
      <x:c r="Q93" s="19" t="str">
        <x:v>metadata taken from completed workbook; author/org not normalized</x:v>
      </x:c>
      <x:c r="R93" s="19" t="str">
        <x:v>2026-05-30</x:v>
      </x:c>
    </x:row>
    <x:row r="94">
      <x:c r="A94" s="19" t="str">
        <x:v>research_evidence_package_health_system_patient_flows_2026-05-30.tar.gz</x:v>
      </x:c>
      <x:c r="B94" s="19" t="str">
        <x:v>Research A / health-system patient flows</x:v>
      </x:c>
      <x:c r="C94" s="19" t="str">
        <x:v>research_evidence_package_health_system_patient_flows_2026-05-30.tar.gz::S39</x:v>
      </x:c>
      <x:c r="D94" s="19" t="str">
        <x:v>S39</x:v>
      </x:c>
      <x:c r="E94" s="19" t="str">
        <x:v>Real health-system patient flows for identifying health issues</x:v>
      </x:c>
      <x:c r="F94" s="19" t="str">
        <x:v>Integrated Management of Childhood Illness</x:v>
      </x:c>
      <x:c r="G94" s="19" t="str">
        <x:v>https://www.who.int/teams/maternal-newborn-child-adolescent-health-and-ageing/child-health/integrated-management-of-childhood-illness/</x:v>
      </x:c>
      <x:c r="H94" s="19" t="str">
        <x:v>WHO clinical/public-health guidance</x:v>
      </x:c>
      <x:c r="I94" s="19" t="str">
        <x:v>unknown</x:v>
      </x:c>
      <x:c r="J94" s="19" t="str">
        <x:v>accessed 2026-05-30</x:v>
      </x:c>
      <x:c r="K94" s="19" t="str">
        <x:v>2026-05-30</x:v>
      </x:c>
      <x:c r="L94" s="19" t="str">
        <x:v>LMIC / global</x:v>
      </x:c>
      <x:c r="M94" s="19" t="str">
        <x:v>low-resource clinic</x:v>
      </x:c>
      <x:c r="N94" s="19" t="str">
        <x:v>high</x:v>
      </x:c>
      <x:c r="O94" s="19" t="str">
        <x:v>Algorithms based on history/signs/symptoms where lab/radiology support is limited.</x:v>
      </x:c>
      <x:c r="P94" s="19" t="str">
        <x:v>01_sources/raw_sources/guidelines/s39_integrated_management_of_childhood_illness.md</x:v>
      </x:c>
      <x:c r="Q94" s="19" t="str">
        <x:v>metadata taken from completed workbook; author/org not normalized</x:v>
      </x:c>
      <x:c r="R94" s="19" t="str">
        <x:v>2026-05-30</x:v>
      </x:c>
    </x:row>
    <x:row r="95">
      <x:c r="A95" s="19" t="str">
        <x:v>research_evidence_package_health_system_patient_flows_2026-05-30.tar.gz</x:v>
      </x:c>
      <x:c r="B95" s="19" t="str">
        <x:v>Research A / health-system patient flows</x:v>
      </x:c>
      <x:c r="C95" s="19" t="str">
        <x:v>research_evidence_package_health_system_patient_flows_2026-05-30.tar.gz::S40</x:v>
      </x:c>
      <x:c r="D95" s="19" t="str">
        <x:v>S40</x:v>
      </x:c>
      <x:c r="E95" s="19" t="str">
        <x:v>Real health-system patient flows for identifying health issues</x:v>
      </x:c>
      <x:c r="F95" s="19" t="str">
        <x:v>Integrated Community Case Management (iCCM)</x:v>
      </x:c>
      <x:c r="G95" s="19" t="str">
        <x:v>https://www.childhealthtaskforce.org/hubs/iccm</x:v>
      </x:c>
      <x:c r="H95" s="19" t="str">
        <x:v>global child-health practice hub</x:v>
      </x:c>
      <x:c r="I95" s="19" t="str">
        <x:v>unknown</x:v>
      </x:c>
      <x:c r="J95" s="19" t="str">
        <x:v>accessed 2026-05-30</x:v>
      </x:c>
      <x:c r="K95" s="19" t="str">
        <x:v>2026-05-30</x:v>
      </x:c>
      <x:c r="L95" s="19" t="str">
        <x:v>LMIC / global</x:v>
      </x:c>
      <x:c r="M95" s="19" t="str">
        <x:v>home/community visit</x:v>
      </x:c>
      <x:c r="N95" s="19" t="str">
        <x:v>medium</x:v>
      </x:c>
      <x:c r="O95" s="19" t="str">
        <x:v>CHWs assess, classify, treat and refer common childhood illnesses in hard-to-reach communities.</x:v>
      </x:c>
      <x:c r="P95" s="19" t="str">
        <x:v>01_sources/raw_sources/other/s40_integrated_community_case_management__iccm.md</x:v>
      </x:c>
      <x:c r="Q95" s="19" t="str">
        <x:v>metadata taken from completed workbook; author/org not normalized</x:v>
      </x:c>
      <x:c r="R95" s="19" t="str">
        <x:v>2026-05-30</x:v>
      </x:c>
    </x:row>
    <x:row r="96">
      <x:c r="A96" s="19" t="str">
        <x:v>research_evidence_package_health_system_patient_flows_2026-05-30.tar.gz</x:v>
      </x:c>
      <x:c r="B96" s="19" t="str">
        <x:v>Research A / health-system patient flows</x:v>
      </x:c>
      <x:c r="C96" s="19" t="str">
        <x:v>research_evidence_package_health_system_patient_flows_2026-05-30.tar.gz::S41</x:v>
      </x:c>
      <x:c r="D96" s="19" t="str">
        <x:v>S41</x:v>
      </x:c>
      <x:c r="E96" s="19" t="str">
        <x:v>Real health-system patient flows for identifying health issues</x:v>
      </x:c>
      <x:c r="F96" s="19" t="str">
        <x:v>Community-based case management: the RAcE programme</x:v>
      </x:c>
      <x:c r="G96" s="19" t="str">
        <x:v>https://www.who.int/teams/global-malaria-programme/case-management/community-based-case-management-race-programme</x:v>
      </x:c>
      <x:c r="H96" s="19" t="str">
        <x:v>WHO programme documentation</x:v>
      </x:c>
      <x:c r="I96" s="19" t="str">
        <x:v>unknown</x:v>
      </x:c>
      <x:c r="J96" s="19" t="str">
        <x:v>accessed 2026-05-30</x:v>
      </x:c>
      <x:c r="K96" s="19" t="str">
        <x:v>2026-05-30</x:v>
      </x:c>
      <x:c r="L96" s="19" t="str">
        <x:v>DRC, Malawi, Mozambique, Niger, Nigeria</x:v>
      </x:c>
      <x:c r="M96" s="19" t="str">
        <x:v>home/community visit</x:v>
      </x:c>
      <x:c r="N96" s="19" t="str">
        <x:v>medium</x:v>
      </x:c>
      <x:c r="O96" s="19" t="str">
        <x:v>Scale-up of iCCM for malaria, pneumonia and diarrhoea in under-five children.</x:v>
      </x:c>
      <x:c r="P96" s="19" t="str">
        <x:v>01_sources/raw_sources/reports/s41_community_based_case_management__the_race_programme.md</x:v>
      </x:c>
      <x:c r="Q96" s="19" t="str">
        <x:v>metadata taken from completed workbook; author/org not normalized</x:v>
      </x:c>
      <x:c r="R96" s="19" t="str">
        <x:v>2026-05-30</x:v>
      </x:c>
    </x:row>
    <x:row r="97">
      <x:c r="A97" s="19" t="str">
        <x:v>research_evidence_package_health_system_patient_flows_2026-05-30.tar.gz</x:v>
      </x:c>
      <x:c r="B97" s="19" t="str">
        <x:v>Research A / health-system patient flows</x:v>
      </x:c>
      <x:c r="C97" s="19" t="str">
        <x:v>research_evidence_package_health_system_patient_flows_2026-05-30.tar.gz::S42</x:v>
      </x:c>
      <x:c r="D97" s="19" t="str">
        <x:v>S42</x:v>
      </x:c>
      <x:c r="E97" s="19" t="str">
        <x:v>Real health-system patient flows for identifying health issues</x:v>
      </x:c>
      <x:c r="F97" s="19" t="str">
        <x:v>Effectiveness of a structured triage system in a resource-limited rural hospital in Uganda</x:v>
      </x:c>
      <x:c r="G97" s="19" t="str">
        <x:v>https://link.springer.com/article/10.1186/s12245-025-01005-z</x:v>
      </x:c>
      <x:c r="H97" s="19" t="str">
        <x:v>peer-reviewed quality-improvement study</x:v>
      </x:c>
      <x:c r="I97" s="19" t="str">
        <x:v>unknown</x:v>
      </x:c>
      <x:c r="J97" s="19" t="str">
        <x:v>2025</x:v>
      </x:c>
      <x:c r="K97" s="19" t="str">
        <x:v>2026-05-30</x:v>
      </x:c>
      <x:c r="L97" s="19" t="str">
        <x:v>Uganda</x:v>
      </x:c>
      <x:c r="M97" s="19" t="str">
        <x:v>rural clinic / outpatient department</x:v>
      </x:c>
      <x:c r="N97" s="19" t="str">
        <x:v>medium</x:v>
      </x:c>
      <x:c r="O97" s="19" t="str">
        <x:v>IITT-adapted triage improved patient flow without additional resources.</x:v>
      </x:c>
      <x:c r="P97" s="19" t="str">
        <x:v>01_sources/raw_sources/articles/s42_effectiveness_of_a_structured_triage_system_in_a_resour.md</x:v>
      </x:c>
      <x:c r="Q97" s="19" t="str">
        <x:v>metadata taken from completed workbook; author/org not normalized</x:v>
      </x:c>
      <x:c r="R97" s="19" t="str">
        <x:v>2026-05-30</x:v>
      </x:c>
    </x:row>
    <x:row r="98">
      <x:c r="A98" s="19" t="str">
        <x:v>research_evidence_package_health_system_patient_flows_2026-05-30.tar.gz</x:v>
      </x:c>
      <x:c r="B98" s="19" t="str">
        <x:v>Research A / health-system patient flows</x:v>
      </x:c>
      <x:c r="C98" s="19" t="str">
        <x:v>research_evidence_package_health_system_patient_flows_2026-05-30.tar.gz::S43</x:v>
      </x:c>
      <x:c r="D98" s="19" t="str">
        <x:v>S43</x:v>
      </x:c>
      <x:c r="E98" s="19" t="str">
        <x:v>Real health-system patient flows for identifying health issues</x:v>
      </x:c>
      <x:c r="F98" s="19" t="str">
        <x:v>Brazil's Family Health Strategy: Using Community Health Workers to Provide Primary Care</x:v>
      </x:c>
      <x:c r="G98" s="19" t="str">
        <x:v>https://www.commonwealthfund.org/publications/case-study/2016/dec/brazils-family-health-strategy-using-community-health-care-workers</x:v>
      </x:c>
      <x:c r="H98" s="19" t="str">
        <x:v>case study / health-system report</x:v>
      </x:c>
      <x:c r="I98" s="19" t="str">
        <x:v>unknown</x:v>
      </x:c>
      <x:c r="J98" s="19" t="str">
        <x:v>2016</x:v>
      </x:c>
      <x:c r="K98" s="19" t="str">
        <x:v>2026-05-30</x:v>
      </x:c>
      <x:c r="L98" s="19" t="str">
        <x:v>Brazil</x:v>
      </x:c>
      <x:c r="M98" s="19" t="str">
        <x:v>home/community visit / primary care</x:v>
      </x:c>
      <x:c r="N98" s="19" t="str">
        <x:v>medium</x:v>
      </x:c>
      <x:c r="O98" s="19" t="str">
        <x:v>CHWs provide home-based primary care, register families, relay information, monitor chronic disease and refer.</x:v>
      </x:c>
      <x:c r="P98" s="19" t="str">
        <x:v>01_sources/raw_sources/reports/s43_brazil_s_family_health_strategy__using_community_health.md</x:v>
      </x:c>
      <x:c r="Q98" s="19" t="str">
        <x:v>metadata taken from completed workbook; author/org not normalized</x:v>
      </x:c>
      <x:c r="R98" s="19" t="str">
        <x:v>2026-05-30</x:v>
      </x:c>
    </x:row>
    <x:row r="99">
      <x:c r="A99" s="19" t="str">
        <x:v>research_evidence_package_health_system_patient_flows_2026-05-30.tar.gz</x:v>
      </x:c>
      <x:c r="B99" s="19" t="str">
        <x:v>Research A / health-system patient flows</x:v>
      </x:c>
      <x:c r="C99" s="19" t="str">
        <x:v>research_evidence_package_health_system_patient_flows_2026-05-30.tar.gz::S44</x:v>
      </x:c>
      <x:c r="D99" s="19" t="str">
        <x:v>S44</x:v>
      </x:c>
      <x:c r="E99" s="19" t="str">
        <x:v>Real health-system patient flows for identifying health issues</x:v>
      </x:c>
      <x:c r="F99" s="19" t="str">
        <x:v>HEARTS in the Americas: Hypertension Clinical Pathways</x:v>
      </x:c>
      <x:c r="G99" s="19" t="str">
        <x:v>https://www.paho.org/en/hearts-americas/hypertension-clinical-pathways</x:v>
      </x:c>
      <x:c r="H99" s="19" t="str">
        <x:v>regional public-health implementation guidance</x:v>
      </x:c>
      <x:c r="I99" s="19" t="str">
        <x:v>unknown</x:v>
      </x:c>
      <x:c r="J99" s="19" t="str">
        <x:v>accessed 2026-05-30</x:v>
      </x:c>
      <x:c r="K99" s="19" t="str">
        <x:v>2026-05-30</x:v>
      </x:c>
      <x:c r="L99" s="19" t="str">
        <x:v>Latin America / Caribbean</x:v>
      </x:c>
      <x:c r="M99" s="19" t="str">
        <x:v>primary care / community health center</x:v>
      </x:c>
      <x:c r="N99" s="19" t="str">
        <x:v>high</x:v>
      </x:c>
      <x:c r="O99" s="19" t="str">
        <x:v>Standardized hypertension protocols, BP measurement, CVD risk, diabetes/CKD integration.</x:v>
      </x:c>
      <x:c r="P99" s="19" t="str">
        <x:v>01_sources/raw_sources/guidelines/s44_hearts_in_the_americas__hypertension_clinical_pathways.md</x:v>
      </x:c>
      <x:c r="Q99" s="19" t="str">
        <x:v>metadata taken from completed workbook; author/org not normalized</x:v>
      </x:c>
      <x:c r="R99" s="19" t="str">
        <x:v>2026-05-30</x:v>
      </x:c>
    </x:row>
    <x:row r="100">
      <x:c r="A100" s="19" t="str">
        <x:v>research_evidence_package_health_system_patient_flows_2026-05-30.tar.gz</x:v>
      </x:c>
      <x:c r="B100" s="19" t="str">
        <x:v>Research A / health-system patient flows</x:v>
      </x:c>
      <x:c r="C100" s="19" t="str">
        <x:v>research_evidence_package_health_system_patient_flows_2026-05-30.tar.gz::S45</x:v>
      </x:c>
      <x:c r="D100" s="19" t="str">
        <x:v>S45</x:v>
      </x:c>
      <x:c r="E100" s="19" t="str">
        <x:v>Real health-system patient flows for identifying health issues</x:v>
      </x:c>
      <x:c r="F100" s="19" t="str">
        <x:v>Specific health checkup and specific health guidance</x:v>
      </x:c>
      <x:c r="G100" s="19" t="str">
        <x:v>https://www.shoken-kenpo.or.jp/eng/member/checkup/measure.html</x:v>
      </x:c>
      <x:c r="H100" s="19" t="str">
        <x:v>insurer health screening programme description</x:v>
      </x:c>
      <x:c r="I100" s="19" t="str">
        <x:v>unknown</x:v>
      </x:c>
      <x:c r="J100" s="19" t="str">
        <x:v>2025; accessed 2026-05-30</x:v>
      </x:c>
      <x:c r="K100" s="19" t="str">
        <x:v>2026-05-30</x:v>
      </x:c>
      <x:c r="L100" s="19" t="str">
        <x:v>Japan</x:v>
      </x:c>
      <x:c r="M100" s="19" t="str">
        <x:v>public health screening / workplace-insurance</x:v>
      </x:c>
      <x:c r="N100" s="19" t="str">
        <x:v>medium</x:v>
      </x:c>
      <x:c r="O100" s="19" t="str">
        <x:v>Annual metabolic screening for insured people/dependents age 40+ and stratified health guidance.</x:v>
      </x:c>
      <x:c r="P100" s="19" t="str">
        <x:v>01_sources/raw_sources/reports/s45_specific_health_checkup_and_specific_health_guidance.md</x:v>
      </x:c>
      <x:c r="Q100" s="19" t="str">
        <x:v>metadata taken from completed workbook; author/org not normalized</x:v>
      </x:c>
      <x:c r="R100" s="19" t="str">
        <x:v>2026-05-30</x:v>
      </x:c>
    </x:row>
    <x:row r="101">
      <x:c r="A101" s="19" t="str">
        <x:v>research_evidence_package_health_system_patient_flows_2026-05-30.tar.gz</x:v>
      </x:c>
      <x:c r="B101" s="19" t="str">
        <x:v>Research A / health-system patient flows</x:v>
      </x:c>
      <x:c r="C101" s="19" t="str">
        <x:v>research_evidence_package_health_system_patient_flows_2026-05-30.tar.gz::S46</x:v>
      </x:c>
      <x:c r="D101" s="19" t="str">
        <x:v>S46</x:v>
      </x:c>
      <x:c r="E101" s="19" t="str">
        <x:v>Real health-system patient flows for identifying health issues</x:v>
      </x:c>
      <x:c r="F101" s="19" t="str">
        <x:v>National Health Screening Program</x:v>
      </x:c>
      <x:c r="G101" s="19" t="str">
        <x:v>https://www.nhis.or.kr/english/wbhe/policies/NationalHealthScreeningProgram.html</x:v>
      </x:c>
      <x:c r="H101" s="19" t="str">
        <x:v>national insurer screening programme</x:v>
      </x:c>
      <x:c r="I101" s="19" t="str">
        <x:v>unknown</x:v>
      </x:c>
      <x:c r="J101" s="19" t="str">
        <x:v>accessed 2026-05-30</x:v>
      </x:c>
      <x:c r="K101" s="19" t="str">
        <x:v>2026-05-30</x:v>
      </x:c>
      <x:c r="L101" s="19" t="str">
        <x:v>South Korea</x:v>
      </x:c>
      <x:c r="M101" s="19" t="str">
        <x:v>public health screening</x:v>
      </x:c>
      <x:c r="N101" s="19" t="str">
        <x:v>medium</x:v>
      </x:c>
      <x:c r="O101" s="19" t="str">
        <x:v>Screening eligibility, authorized hospital visit, mailed results and confirmation checkup for suspected disease.</x:v>
      </x:c>
      <x:c r="P101" s="19" t="str">
        <x:v>01_sources/raw_sources/reports/s46_national_health_screening_program.md</x:v>
      </x:c>
      <x:c r="Q101" s="19" t="str">
        <x:v>metadata taken from completed workbook; author/org not normalized</x:v>
      </x:c>
      <x:c r="R101" s="19" t="str">
        <x:v>2026-05-30</x:v>
      </x:c>
    </x:row>
    <x:row r="102">
      <x:c r="A102" s="19" t="str">
        <x:v>research_evidence_package_health_system_patient_flows_2026-05-30.tar.gz</x:v>
      </x:c>
      <x:c r="B102" s="19" t="str">
        <x:v>Research A / health-system patient flows</x:v>
      </x:c>
      <x:c r="C102" s="19" t="str">
        <x:v>research_evidence_package_health_system_patient_flows_2026-05-30.tar.gz::S47</x:v>
      </x:c>
      <x:c r="D102" s="19" t="str">
        <x:v>S47</x:v>
      </x:c>
      <x:c r="E102" s="19" t="str">
        <x:v>Real health-system patient flows for identifying health issues</x:v>
      </x:c>
      <x:c r="F102" s="19" t="str">
        <x:v>Danish Cancer Patient Pathways: three-legged strategy</x:v>
      </x:c>
      <x:c r="G102" s="19" t="str">
        <x:v>https://www.all-can.org/efficiency-hub/danish-cancer-patient-pathways-three-legged-strategy-for-faster-referral-and-diagnosis-of-cancer/</x:v>
      </x:c>
      <x:c r="H102" s="19" t="str">
        <x:v>health-system case study</x:v>
      </x:c>
      <x:c r="I102" s="19" t="str">
        <x:v>unknown</x:v>
      </x:c>
      <x:c r="J102" s="19" t="str">
        <x:v>accessed 2026-05-30</x:v>
      </x:c>
      <x:c r="K102" s="19" t="str">
        <x:v>2026-05-30</x:v>
      </x:c>
      <x:c r="L102" s="19" t="str">
        <x:v>Denmark</x:v>
      </x:c>
      <x:c r="M102" s="19" t="str">
        <x:v>primary care / specialist diagnostics</x:v>
      </x:c>
      <x:c r="N102" s="19" t="str">
        <x:v>medium</x:v>
      </x:c>
      <x:c r="O102" s="19" t="str">
        <x:v>GP referral routes for alarm symptoms, serious nonspecific symptoms and vague lower-risk symptoms.</x:v>
      </x:c>
      <x:c r="P102" s="19" t="str">
        <x:v>01_sources/raw_sources/articles/s47_danish_cancer_patient_pathways__three_legged_strategy.md</x:v>
      </x:c>
      <x:c r="Q102" s="19" t="str">
        <x:v>metadata taken from completed workbook; author/org not normalized</x:v>
      </x:c>
      <x:c r="R102" s="19" t="str">
        <x:v>2026-05-30</x:v>
      </x:c>
    </x:row>
    <x:row r="103">
      <x:c r="A103" s="19" t="str">
        <x:v>research_evidence_package_health_system_patient_flows_2026-05-30.tar.gz</x:v>
      </x:c>
      <x:c r="B103" s="19" t="str">
        <x:v>Research A / health-system patient flows</x:v>
      </x:c>
      <x:c r="C103" s="19" t="str">
        <x:v>research_evidence_package_health_system_patient_flows_2026-05-30.tar.gz::S48</x:v>
      </x:c>
      <x:c r="D103" s="19" t="str">
        <x:v>S48</x:v>
      </x:c>
      <x:c r="E103" s="19" t="str">
        <x:v>Real health-system patient flows for identifying health issues</x:v>
      </x:c>
      <x:c r="F103" s="19" t="str">
        <x:v>Risk of cancer and serious disease in Danish patients with urgent referral for NSSC</x:v>
      </x:c>
      <x:c r="G103" s="19" t="str">
        <x:v>https://www.nature.com/articles/s41416-024-02620-y</x:v>
      </x:c>
      <x:c r="H103" s="19" t="str">
        <x:v>peer-reviewed cohort study</x:v>
      </x:c>
      <x:c r="I103" s="19" t="str">
        <x:v>unknown</x:v>
      </x:c>
      <x:c r="J103" s="19" t="str">
        <x:v>2024</x:v>
      </x:c>
      <x:c r="K103" s="19" t="str">
        <x:v>2026-05-30</x:v>
      </x:c>
      <x:c r="L103" s="19" t="str">
        <x:v>Denmark</x:v>
      </x:c>
      <x:c r="M103" s="19" t="str">
        <x:v>specialist diagnostic centre</x:v>
      </x:c>
      <x:c r="N103" s="19" t="str">
        <x:v>high</x:v>
      </x:c>
      <x:c r="O103" s="19" t="str">
        <x:v>NSSC-CPP for non-specific symptoms; cancer probability among referred patients.</x:v>
      </x:c>
      <x:c r="P103" s="19" t="str">
        <x:v>01_sources/raw_sources/articles/s48_risk_of_cancer_and_serious_disease_in_danish_patients_w.md</x:v>
      </x:c>
      <x:c r="Q103" s="19" t="str">
        <x:v>metadata taken from completed workbook; author/org not normalized</x:v>
      </x:c>
      <x:c r="R103" s="19" t="str">
        <x:v>2026-05-30</x:v>
      </x:c>
    </x:row>
    <x:row r="104">
      <x:c r="A104" s="19" t="str">
        <x:v>research_evidence_package_health_system_patient_flows_2026-05-30.tar.gz</x:v>
      </x:c>
      <x:c r="B104" s="19" t="str">
        <x:v>Research A / health-system patient flows</x:v>
      </x:c>
      <x:c r="C104" s="19" t="str">
        <x:v>research_evidence_package_health_system_patient_flows_2026-05-30.tar.gz::S49</x:v>
      </x:c>
      <x:c r="D104" s="19" t="str">
        <x:v>S49</x:v>
      </x:c>
      <x:c r="E104" s="19" t="str">
        <x:v>Real health-system patient flows for identifying health issues</x:v>
      </x:c>
      <x:c r="F104" s="19" t="str">
        <x:v>Healthcare Israel</x:v>
      </x:c>
      <x:c r="G104" s="19" t="str">
        <x:v>https://www1.health.gov.il/en/landing-pages/healthcare-israel/healthcare-israel/</x:v>
      </x:c>
      <x:c r="H104" s="19" t="str">
        <x:v>Ministry of Health health-system overview</x:v>
      </x:c>
      <x:c r="I104" s="19" t="str">
        <x:v>unknown</x:v>
      </x:c>
      <x:c r="J104" s="19" t="str">
        <x:v>accessed 2026-05-30</x:v>
      </x:c>
      <x:c r="K104" s="19" t="str">
        <x:v>2026-05-30</x:v>
      </x:c>
      <x:c r="L104" s="19" t="str">
        <x:v>Israel</x:v>
      </x:c>
      <x:c r="M104" s="19" t="str">
        <x:v>primary care / HMO</x:v>
      </x:c>
      <x:c r="N104" s="19" t="str">
        <x:v>medium</x:v>
      </x:c>
      <x:c r="O104" s="19" t="str">
        <x:v>Family doctor/community health centre front door, national digital record environment and quality measurement.</x:v>
      </x:c>
      <x:c r="P104" s="19" t="str">
        <x:v>01_sources/raw_sources/other/s49_healthcare_israel.md</x:v>
      </x:c>
      <x:c r="Q104" s="19" t="str">
        <x:v>metadata taken from completed workbook; author/org not normalized</x:v>
      </x:c>
      <x:c r="R104" s="19" t="str">
        <x:v>2026-05-30</x:v>
      </x:c>
    </x:row>
    <x:row r="105">
      <x:c r="A105" s="19" t="str">
        <x:v>research_evidence_package_health_system_patient_flows_2026-05-30.tar.gz</x:v>
      </x:c>
      <x:c r="B105" s="19" t="str">
        <x:v>Research A / health-system patient flows</x:v>
      </x:c>
      <x:c r="C105" s="19" t="str">
        <x:v>research_evidence_package_health_system_patient_flows_2026-05-30.tar.gz::S50</x:v>
      </x:c>
      <x:c r="D105" s="19" t="str">
        <x:v>S50</x:v>
      </x:c>
      <x:c r="E105" s="19" t="str">
        <x:v>Real health-system patient flows for identifying health issues</x:v>
      </x:c>
      <x:c r="F105" s="19" t="str">
        <x:v>Maccabi Healthcare Services: Diagnostic Services</x:v>
      </x:c>
      <x:c r="G105" s="19" t="str">
        <x:v>https://www.maccabi4u.co.il/en/46562/main_english/our-healthcare-system/diagnostic-services/</x:v>
      </x:c>
      <x:c r="H105" s="19" t="str">
        <x:v>HMO diagnostic-service description</x:v>
      </x:c>
      <x:c r="I105" s="19" t="str">
        <x:v>unknown</x:v>
      </x:c>
      <x:c r="J105" s="19" t="str">
        <x:v>accessed 2026-05-30</x:v>
      </x:c>
      <x:c r="K105" s="19" t="str">
        <x:v>2026-05-30</x:v>
      </x:c>
      <x:c r="L105" s="19" t="str">
        <x:v>Israel</x:v>
      </x:c>
      <x:c r="M105" s="19" t="str">
        <x:v>diagnostic / outpatient</x:v>
      </x:c>
      <x:c r="N105" s="19" t="str">
        <x:v>medium</x:v>
      </x:c>
      <x:c r="O105" s="19" t="str">
        <x:v>Physician referral to collection site/test, results to physician computer/user stations, teleradiology and computerized follow-up.</x:v>
      </x:c>
      <x:c r="P105" s="19" t="str">
        <x:v>01_sources/raw_sources/other/s50_maccabi_healthcare_services__diagnostic_services.md</x:v>
      </x:c>
      <x:c r="Q105" s="19" t="str">
        <x:v>metadata taken from completed workbook; author/org not normalized</x:v>
      </x:c>
      <x:c r="R105" s="19" t="str">
        <x:v>2026-05-30</x:v>
      </x:c>
    </x:row>
    <x:row r="106">
      <x:c r="A106" s="19" t="str">
        <x:v>research_evidence_package_health_system_patient_flows_2026-05-30.tar.gz</x:v>
      </x:c>
      <x:c r="B106" s="19" t="str">
        <x:v>Research A / health-system patient flows</x:v>
      </x:c>
      <x:c r="C106" s="19" t="str">
        <x:v>research_evidence_package_health_system_patient_flows_2026-05-30.tar.gz::S51</x:v>
      </x:c>
      <x:c r="D106" s="19" t="str">
        <x:v>S51</x:v>
      </x:c>
      <x:c r="E106" s="19" t="str">
        <x:v>Real health-system patient flows for identifying health issues</x:v>
      </x:c>
      <x:c r="F106" s="19" t="str">
        <x:v>WHO Package of Essential NCD Interventions (PEN)</x:v>
      </x:c>
      <x:c r="G106" s="19" t="str">
        <x:v>https://www.who.int/initiatives/who-pen</x:v>
      </x:c>
      <x:c r="H106" s="19" t="str">
        <x:v>WHO primary-care implementation package</x:v>
      </x:c>
      <x:c r="I106" s="19" t="str">
        <x:v>unknown</x:v>
      </x:c>
      <x:c r="J106" s="19" t="str">
        <x:v>accessed 2026-05-30</x:v>
      </x:c>
      <x:c r="K106" s="19" t="str">
        <x:v>2026-05-30</x:v>
      </x:c>
      <x:c r="L106" s="19" t="str">
        <x:v>LMIC / global</x:v>
      </x:c>
      <x:c r="M106" s="19" t="str">
        <x:v>primary care / low-resource clinic</x:v>
      </x:c>
      <x:c r="N106" s="19" t="str">
        <x:v>high</x:v>
      </x:c>
      <x:c r="O106" s="19" t="str">
        <x:v>Integrated NCD primary-care approach for low-resource settings.</x:v>
      </x:c>
      <x:c r="P106" s="19" t="str">
        <x:v>01_sources/raw_sources/other/s51_who_package_of_essential_ncd_interventions__pen.md</x:v>
      </x:c>
      <x:c r="Q106" s="19" t="str">
        <x:v>metadata taken from completed workbook; author/org not normalized</x:v>
      </x:c>
      <x:c r="R106" s="19" t="str">
        <x:v>2026-05-30</x:v>
      </x:c>
    </x:row>
    <x:row r="107">
      <x:c r="A107" s="19" t="str">
        <x:v>research_evidence_package_health_system_patient_flows_2026-05-30.tar.gz</x:v>
      </x:c>
      <x:c r="B107" s="19" t="str">
        <x:v>Research A / health-system patient flows</x:v>
      </x:c>
      <x:c r="C107" s="19" t="str">
        <x:v>research_evidence_package_health_system_patient_flows_2026-05-30.tar.gz::S52</x:v>
      </x:c>
      <x:c r="D107" s="19" t="str">
        <x:v>S52</x:v>
      </x:c>
      <x:c r="E107" s="19" t="str">
        <x:v>Real health-system patient flows for identifying health issues</x:v>
      </x:c>
      <x:c r="F107" s="19" t="str">
        <x:v>Data analysis reveals common errors that prevent patients from getting timely, accurate diagnoses</x:v>
      </x:c>
      <x:c r="G107" s="19" t="str">
        <x:v>https://home.ecri.org/blogs/ecri-news/data-analysis-reveals-common-errors-that-prevent-patients-from-getting-timely-accurate-diagnoses</x:v>
      </x:c>
      <x:c r="H107" s="19" t="str">
        <x:v>patient safety analysis</x:v>
      </x:c>
      <x:c r="I107" s="19" t="str">
        <x:v>unknown</x:v>
      </x:c>
      <x:c r="J107" s="19" t="str">
        <x:v>2024; accessed 2026-05-30</x:v>
      </x:c>
      <x:c r="K107" s="19" t="str">
        <x:v>2026-05-30</x:v>
      </x:c>
      <x:c r="L107" s="19" t="str">
        <x:v>US</x:v>
      </x:c>
      <x:c r="M107" s="19" t="str">
        <x:v>cross-setting</x:v>
      </x:c>
      <x:c r="N107" s="19" t="str">
        <x:v>medium</x:v>
      </x:c>
      <x:c r="O107" s="19" t="str">
        <x:v>ECRI analysis of &gt;3,000 diagnostic safety events: testing, monitoring/follow-up and referral/consultation breakdowns.</x:v>
      </x:c>
      <x:c r="P107" s="19" t="str">
        <x:v>01_sources/raw_sources/other/s52_data_analysis_reveals_common_errors_that_prevent_patien.md</x:v>
      </x:c>
      <x:c r="Q107" s="19" t="str">
        <x:v>metadata taken from completed workbook; author/org not normalized</x:v>
      </x:c>
      <x:c r="R107" s="19" t="str">
        <x:v>2026-05-30</x:v>
      </x:c>
    </x:row>
    <x:row r="108">
      <x:c r="A108" s="19" t="str">
        <x:v>research_evidence_package_health_system_patient_flows_2026-05-30.tar.gz</x:v>
      </x:c>
      <x:c r="B108" s="19" t="str">
        <x:v>Research A / health-system patient flows</x:v>
      </x:c>
      <x:c r="C108" s="19" t="str">
        <x:v>research_evidence_package_health_system_patient_flows_2026-05-30.tar.gz::S53</x:v>
      </x:c>
      <x:c r="D108" s="19" t="str">
        <x:v>S53</x:v>
      </x:c>
      <x:c r="E108" s="19" t="str">
        <x:v>Real health-system patient flows for identifying health issues</x:v>
      </x:c>
      <x:c r="F108" s="19" t="str">
        <x:v>Undiagnosed: When Your Rare Diagnosis Comes 30 Years Late</x:v>
      </x:c>
      <x:c r="G108" s="19" t="str">
        <x:v>https://rarediseases.org/undiagnosed-when-your-rare-diagnosis-comes-30-years-late/</x:v>
      </x:c>
      <x:c r="H108" s="19" t="str">
        <x:v>patient story / advocacy group</x:v>
      </x:c>
      <x:c r="I108" s="19" t="str">
        <x:v>unknown</x:v>
      </x:c>
      <x:c r="J108" s="19" t="str">
        <x:v>2023; accessed 2026-05-30</x:v>
      </x:c>
      <x:c r="K108" s="19" t="str">
        <x:v>2026-05-30</x:v>
      </x:c>
      <x:c r="L108" s="19" t="str">
        <x:v>US</x:v>
      </x:c>
      <x:c r="M108" s="19" t="str">
        <x:v>specialist / rare disease</x:v>
      </x:c>
      <x:c r="N108" s="19" t="str">
        <x:v>low</x:v>
      </x:c>
      <x:c r="O108" s="19" t="str">
        <x:v>Patient self-advocacy and specialist programme finally connected long-standing symptoms with rare disorder diagnosis.</x:v>
      </x:c>
      <x:c r="P108" s="19" t="str">
        <x:v>01_sources/raw_sources/case_reports/s53_undiagnosed__when_your_rare_diagnosis_comes_30_years_la.md</x:v>
      </x:c>
      <x:c r="Q108" s="19" t="str">
        <x:v>metadata taken from completed workbook; author/org not normalized</x:v>
      </x:c>
      <x:c r="R108" s="19" t="str">
        <x:v>2026-05-30</x:v>
      </x:c>
    </x:row>
    <x:row r="109">
      <x:c r="A109" s="19" t="str">
        <x:v>research_evidence_package_health_system_patient_flows_2026-05-30.tar.gz</x:v>
      </x:c>
      <x:c r="B109" s="19" t="str">
        <x:v>Research A / health-system patient flows</x:v>
      </x:c>
      <x:c r="C109" s="19" t="str">
        <x:v>research_evidence_package_health_system_patient_flows_2026-05-30.tar.gz::S54</x:v>
      </x:c>
      <x:c r="D109" s="19" t="str">
        <x:v>S54</x:v>
      </x:c>
      <x:c r="E109" s="19" t="str">
        <x:v>Real health-system patient flows for identifying health issues</x:v>
      </x:c>
      <x:c r="F109" s="19" t="str">
        <x:v>Living with CKD: diagnosis experiences</x:v>
      </x:c>
      <x:c r="G109" s="19" t="str">
        <x:v>https://kidneycareuk.org/kidney-disease-information/your-stories/ckd-diagnosis-experiences/</x:v>
      </x:c>
      <x:c r="H109" s="19" t="str">
        <x:v>patient stories / advocacy group</x:v>
      </x:c>
      <x:c r="I109" s="19" t="str">
        <x:v>unknown</x:v>
      </x:c>
      <x:c r="J109" s="19" t="str">
        <x:v>accessed 2026-05-30</x:v>
      </x:c>
      <x:c r="K109" s="19" t="str">
        <x:v>2026-05-30</x:v>
      </x:c>
      <x:c r="L109" s="19" t="str">
        <x:v>UK</x:v>
      </x:c>
      <x:c r="M109" s="19" t="str">
        <x:v>primary care / chronic disease</x:v>
      </x:c>
      <x:c r="N109" s="19" t="str">
        <x:v>low</x:v>
      </x:c>
      <x:c r="O109" s="19" t="str">
        <x:v>Patient narratives of communication issues, dismissed symptoms and unseen records in CKD diagnosis.</x:v>
      </x:c>
      <x:c r="P109" s="19" t="str">
        <x:v>01_sources/raw_sources/other/s54_living_with_ckd__diagnosis_experiences.md</x:v>
      </x:c>
      <x:c r="Q109" s="19" t="str">
        <x:v>metadata taken from completed workbook; author/org not normalized</x:v>
      </x:c>
      <x:c r="R109" s="19" t="str">
        <x:v>2026-05-30</x:v>
      </x:c>
    </x:row>
    <x:row r="110">
      <x:c r="A110" s="19" t="str">
        <x:v>research_evidence_package_health_system_patient_flows_2026-05-30.tar.gz</x:v>
      </x:c>
      <x:c r="B110" s="19" t="str">
        <x:v>Research A / health-system patient flows</x:v>
      </x:c>
      <x:c r="C110" s="19" t="str">
        <x:v>research_evidence_package_health_system_patient_flows_2026-05-30.tar.gz::S55</x:v>
      </x:c>
      <x:c r="D110" s="19" t="str">
        <x:v>S55</x:v>
      </x:c>
      <x:c r="E110" s="19" t="str">
        <x:v>Real health-system patient flows for identifying health issues</x:v>
      </x:c>
      <x:c r="F110" s="19" t="str">
        <x:v>The Diagnosis They Missed: A Journey from Dismissal to Advocacy</x:v>
      </x:c>
      <x:c r="G110" s="19" t="str">
        <x:v>https://www.rarediseaseday.org/heroes/the-diagnosis-they-missed-a-journey-from-dismissal-to-advocacy/</x:v>
      </x:c>
      <x:c r="H110" s="19" t="str">
        <x:v>patient story / advocacy group</x:v>
      </x:c>
      <x:c r="I110" s="19" t="str">
        <x:v>unknown</x:v>
      </x:c>
      <x:c r="J110" s="19" t="str">
        <x:v>accessed 2026-05-30</x:v>
      </x:c>
      <x:c r="K110" s="19" t="str">
        <x:v>2026-05-30</x:v>
      </x:c>
      <x:c r="L110" s="19" t="str">
        <x:v>international / rare disease</x:v>
      </x:c>
      <x:c r="M110" s="19" t="str">
        <x:v>primary care / specialist</x:v>
      </x:c>
      <x:c r="N110" s="19" t="str">
        <x:v>low</x:v>
      </x:c>
      <x:c r="O110" s="19" t="str">
        <x:v>Rare/chronic-condition patient narrative about delayed diagnosis and being unheard.</x:v>
      </x:c>
      <x:c r="P110" s="19" t="str">
        <x:v>01_sources/raw_sources/case_reports/s55_the_diagnosis_they_missed__a_journey_from_dismissal_to.md</x:v>
      </x:c>
      <x:c r="Q110" s="19" t="str">
        <x:v>metadata taken from completed workbook; author/org not normalized</x:v>
      </x:c>
      <x:c r="R110" s="19" t="str">
        <x:v>2026-05-30</x:v>
      </x:c>
    </x:row>
    <x:row r="111">
      <x:c r="A111" s="19" t="str">
        <x:v>research_evidence_package_health_system_patient_flows_2026-05-30.tar.gz</x:v>
      </x:c>
      <x:c r="B111" s="19" t="str">
        <x:v>Research A / health-system patient flows</x:v>
      </x:c>
      <x:c r="C111" s="19" t="str">
        <x:v>research_evidence_package_health_system_patient_flows_2026-05-30.tar.gz::S56</x:v>
      </x:c>
      <x:c r="D111" s="19" t="str">
        <x:v>S56</x:v>
      </x:c>
      <x:c r="E111" s="19" t="str">
        <x:v>Real health-system patient flows for identifying health issues</x:v>
      </x:c>
      <x:c r="F111" s="19" t="str">
        <x:v>Types and Origins of Diagnostic Errors in Primary Care Settings</x:v>
      </x:c>
      <x:c r="G111" s="19" t="str">
        <x:v>https://jamanetwork.com/journals/jamainternalmedicine/fullarticle/1656540</x:v>
      </x:c>
      <x:c r="H111" s="19" t="str">
        <x:v>peer-reviewed diagnostic-error study</x:v>
      </x:c>
      <x:c r="I111" s="19" t="str">
        <x:v>unknown</x:v>
      </x:c>
      <x:c r="J111" s="19" t="str">
        <x:v>2013</x:v>
      </x:c>
      <x:c r="K111" s="19" t="str">
        <x:v>2026-05-30</x:v>
      </x:c>
      <x:c r="L111" s="19" t="str">
        <x:v>US</x:v>
      </x:c>
      <x:c r="M111" s="19" t="str">
        <x:v>primary care</x:v>
      </x:c>
      <x:c r="N111" s="19" t="str">
        <x:v>high</x:v>
      </x:c>
      <x:c r="O111" s="19" t="str">
        <x:v>Diagnostic errors clustered in patient-practitioner encounter, history, exam and ordering workup.</x:v>
      </x:c>
      <x:c r="P111" s="19" t="str">
        <x:v>01_sources/raw_sources/articles/s56_types_and_origins_of_diagnostic_errors_in_primary_care.md</x:v>
      </x:c>
      <x:c r="Q111" s="19" t="str">
        <x:v>metadata taken from completed workbook; author/org not normalized</x:v>
      </x:c>
      <x:c r="R111" s="19" t="str">
        <x:v>2026-05-30</x:v>
      </x:c>
    </x:row>
    <x:row r="112">
      <x:c r="A112" s="19" t="str">
        <x:v>research_evidence_package_missed_signals_diagnostic_errors_2026-05-30.tar.gz</x:v>
      </x:c>
      <x:c r="B112" s="19" t="str">
        <x:v>Research B / missed signals and diagnostic errors</x:v>
      </x:c>
      <x:c r="C112" s="19" t="str">
        <x:v>research_evidence_package_missed_signals_diagnostic_errors_2026-05-30.tar.gz::S-001</x:v>
      </x:c>
      <x:c r="D112" s="19" t="str">
        <x:v>S-001</x:v>
      </x:c>
      <x:c r="E112" s="19" t="str">
        <x:v>Research B - missed signals, diagnostic errors, and late discovery cases</x:v>
      </x:c>
      <x:c r="F112" s="19" t="str">
        <x:v>Improving Diagnosis in Health Care</x:v>
      </x:c>
      <x:c r="G112" s="19" t="str">
        <x:v>https://psnet.ahrq.gov/issue/improving-diagnosis-health-care</x:v>
      </x:c>
      <x:c r="H112" s="19" t="str">
        <x:v>National Academies report summary via AHRQ PSNet</x:v>
      </x:c>
      <x:c r="I112" s="19" t="str">
        <x:v>unknown</x:v>
      </x:c>
      <x:c r="J112" s="19" t="str">
        <x:v>2015 report; accessed 2026-05-30</x:v>
      </x:c>
      <x:c r="K112" s="19" t="str">
        <x:v>2026-05-30</x:v>
      </x:c>
      <x:c r="L112" s="19" t="str">
        <x:v>United States</x:v>
      </x:c>
      <x:c r="M112" s="19" t="str">
        <x:v>Background context on diagnostic error burden</x:v>
      </x:c>
      <x:c r="N112" s="19" t="str">
        <x:v>High</x:v>
      </x:c>
      <x:c r="O112" s="19" t="str">
        <x:v>Background context on diagnostic error burden</x:v>
      </x:c>
      <x:c r="P112" s="19" t="str">
        <x:v>01_sources/raw_sources/other/s-001.md</x:v>
      </x:c>
      <x:c r="Q112" s="19" t="str">
        <x:v>High: national consensus report summary</x:v>
      </x:c>
      <x:c r="R112" s="19" t="str">
        <x:v>2026-05-30</x:v>
      </x:c>
    </x:row>
    <x:row r="113">
      <x:c r="A113" s="19" t="str">
        <x:v>research_evidence_package_missed_signals_diagnostic_errors_2026-05-30.tar.gz</x:v>
      </x:c>
      <x:c r="B113" s="19" t="str">
        <x:v>Research B / missed signals and diagnostic errors</x:v>
      </x:c>
      <x:c r="C113" s="19" t="str">
        <x:v>research_evidence_package_missed_signals_diagnostic_errors_2026-05-30.tar.gz::S-002</x:v>
      </x:c>
      <x:c r="D113" s="19" t="str">
        <x:v>S-002</x:v>
      </x:c>
      <x:c r="E113" s="19" t="str">
        <x:v>Research B - missed signals, diagnostic errors, and late discovery cases</x:v>
      </x:c>
      <x:c r="F113" s="19" t="str">
        <x:v>The frequency of diagnostic errors in outpatient care</x:v>
      </x:c>
      <x:c r="G113" s="19" t="str">
        <x:v>https://qualitysafety.bmj.com/content/23/9/727</x:v>
      </x:c>
      <x:c r="H113" s="19" t="str">
        <x:v>Peer-reviewed BMJ Quality &amp; Safety study</x:v>
      </x:c>
      <x:c r="I113" s="19" t="str">
        <x:v>unknown</x:v>
      </x:c>
      <x:c r="J113" s="19" t="str">
        <x:v>2014</x:v>
      </x:c>
      <x:c r="K113" s="19" t="str">
        <x:v>unknown</x:v>
      </x:c>
      <x:c r="L113" s="19" t="str">
        <x:v>United States</x:v>
      </x:c>
      <x:c r="M113" s="19" t="str">
        <x:v>Background estimate of outpatient diagnostic error</x:v>
      </x:c>
      <x:c r="N113" s="19" t="str">
        <x:v>High</x:v>
      </x:c>
      <x:c r="O113" s="19" t="str">
        <x:v>Background estimate of outpatient diagnostic error</x:v>
      </x:c>
      <x:c r="P113" s="19" t="str">
        <x:v>01_sources/raw_sources/other/s-002.md</x:v>
      </x:c>
      <x:c r="Q113" s="19" t="str">
        <x:v>High: peer-reviewed empirical estimate</x:v>
      </x:c>
      <x:c r="R113" s="19" t="str">
        <x:v>2026-05-30</x:v>
      </x:c>
    </x:row>
    <x:row r="114">
      <x:c r="A114" s="19" t="str">
        <x:v>research_evidence_package_missed_signals_diagnostic_errors_2026-05-30.tar.gz</x:v>
      </x:c>
      <x:c r="B114" s="19" t="str">
        <x:v>Research B / missed signals and diagnostic errors</x:v>
      </x:c>
      <x:c r="C114" s="19" t="str">
        <x:v>research_evidence_package_missed_signals_diagnostic_errors_2026-05-30.tar.gz::S-003</x:v>
      </x:c>
      <x:c r="D114" s="19" t="str">
        <x:v>S-003</x:v>
      </x:c>
      <x:c r="E114" s="19" t="str">
        <x:v>Research B - missed signals, diagnostic errors, and late discovery cases</x:v>
      </x:c>
      <x:c r="F114" s="19" t="str">
        <x:v>AHRQ PSNet WebM&amp;M case analyses</x:v>
      </x:c>
      <x:c r="G114" s="19" t="str">
        <x:v>https://psnet.ahrq.gov/web-mm</x:v>
      </x:c>
      <x:c r="H114" s="19" t="str">
        <x:v>Federal patient-safety case analyses</x:v>
      </x:c>
      <x:c r="I114" s="19" t="str">
        <x:v>unknown</x:v>
      </x:c>
      <x:c r="J114" s="19" t="str">
        <x:v>2003-2024</x:v>
      </x:c>
      <x:c r="K114" s="19" t="str">
        <x:v>unknown</x:v>
      </x:c>
      <x:c r="L114" s="19" t="str">
        <x:v>United States</x:v>
      </x:c>
      <x:c r="M114" s="19" t="str">
        <x:v>Cases B-001 through B-017</x:v>
      </x:c>
      <x:c r="N114" s="19" t="str">
        <x:v>High/medium</x:v>
      </x:c>
      <x:c r="O114" s="19" t="str">
        <x:v>Cases B-001 through B-017</x:v>
      </x:c>
      <x:c r="P114" s="19" t="str">
        <x:v>01_sources/raw_sources/other/s-003.md</x:v>
      </x:c>
      <x:c r="Q114" s="19" t="str">
        <x:v>High/medium: expert case analyses; anonymous cases</x:v>
      </x:c>
      <x:c r="R114" s="19" t="str">
        <x:v>2026-05-30</x:v>
      </x:c>
    </x:row>
    <x:row r="115">
      <x:c r="A115" s="19" t="str">
        <x:v>research_evidence_package_missed_signals_diagnostic_errors_2026-05-30.tar.gz</x:v>
      </x:c>
      <x:c r="B115" s="19" t="str">
        <x:v>Research B / missed signals and diagnostic errors</x:v>
      </x:c>
      <x:c r="C115" s="19" t="str">
        <x:v>research_evidence_package_missed_signals_diagnostic_errors_2026-05-30.tar.gz::S-004</x:v>
      </x:c>
      <x:c r="D115" s="19" t="str">
        <x:v>S-004</x:v>
      </x:c>
      <x:c r="E115" s="19" t="str">
        <x:v>Research B - missed signals, diagnostic errors, and late discovery cases</x:v>
      </x:c>
      <x:c r="F115" s="19" t="str">
        <x:v>Betsy Lehman Center diagnostic-error case studies</x:v>
      </x:c>
      <x:c r="G115" s="19" t="str">
        <x:v>https://betsylehmancenterma.gov/best-practices/diagnostic-error/case-studies</x:v>
      </x:c>
      <x:c r="H115" s="19" t="str">
        <x:v>State patient-safety center case catalog</x:v>
      </x:c>
      <x:c r="I115" s="19" t="str">
        <x:v>unknown</x:v>
      </x:c>
      <x:c r="J115" s="19" t="str">
        <x:v>Accessed 2026-05-30</x:v>
      </x:c>
      <x:c r="K115" s="19" t="str">
        <x:v>2026-05-30</x:v>
      </x:c>
      <x:c r="L115" s="19" t="str">
        <x:v>United States</x:v>
      </x:c>
      <x:c r="M115" s="19" t="str">
        <x:v>Cases B-029 through B-032</x:v>
      </x:c>
      <x:c r="N115" s="19" t="str">
        <x:v>Medium</x:v>
      </x:c>
      <x:c r="O115" s="19" t="str">
        <x:v>Cases B-029 through B-032</x:v>
      </x:c>
      <x:c r="P115" s="19" t="str">
        <x:v>01_sources/raw_sources/other/s-004.md</x:v>
      </x:c>
      <x:c r="Q115" s="19" t="str">
        <x:v>Medium: curated case summaries</x:v>
      </x:c>
      <x:c r="R115" s="19" t="str">
        <x:v>2026-05-30</x:v>
      </x:c>
    </x:row>
    <x:row r="116">
      <x:c r="A116" s="19" t="str">
        <x:v>research_evidence_package_missed_signals_diagnostic_errors_2026-05-30.tar.gz</x:v>
      </x:c>
      <x:c r="B116" s="19" t="str">
        <x:v>Research B / missed signals and diagnostic errors</x:v>
      </x:c>
      <x:c r="C116" s="19" t="str">
        <x:v>research_evidence_package_missed_signals_diagnostic_errors_2026-05-30.tar.gz::S-005</x:v>
      </x:c>
      <x:c r="D116" s="19" t="str">
        <x:v>S-005</x:v>
      </x:c>
      <x:c r="E116" s="19" t="str">
        <x:v>Research B - missed signals, diagnostic errors, and late discovery cases</x:v>
      </x:c>
      <x:c r="F116" s="19" t="str">
        <x:v>HSSIB radiology follow-up investigation</x:v>
      </x:c>
      <x:c r="G116" s="19" t="str">
        <x:v>https://www.hssib.org.uk/patient-safety-investigations/failures-in-communication-or-follow-up-of-unexpected-significant-radiological-findings/investigation-report/</x:v>
      </x:c>
      <x:c r="H116" s="19" t="str">
        <x:v>National patient-safety investigation</x:v>
      </x:c>
      <x:c r="I116" s="19" t="str">
        <x:v>unknown</x:v>
      </x:c>
      <x:c r="J116" s="19" t="str">
        <x:v>2022-10-21</x:v>
      </x:c>
      <x:c r="K116" s="19" t="str">
        <x:v>unknown</x:v>
      </x:c>
      <x:c r="L116" s="19" t="str">
        <x:v>England / United Kingdom</x:v>
      </x:c>
      <x:c r="M116" s="19" t="str">
        <x:v>Case B-018</x:v>
      </x:c>
      <x:c r="N116" s="19" t="str">
        <x:v>High</x:v>
      </x:c>
      <x:c r="O116" s="19" t="str">
        <x:v>Case B-018</x:v>
      </x:c>
      <x:c r="P116" s="19" t="str">
        <x:v>01_sources/raw_sources/other/s-005.md</x:v>
      </x:c>
      <x:c r="Q116" s="19" t="str">
        <x:v>High: official safety investigation</x:v>
      </x:c>
      <x:c r="R116" s="19" t="str">
        <x:v>2026-05-30</x:v>
      </x:c>
    </x:row>
    <x:row r="117">
      <x:c r="A117" s="19" t="str">
        <x:v>research_evidence_package_missed_signals_diagnostic_errors_2026-05-30.tar.gz</x:v>
      </x:c>
      <x:c r="B117" s="19" t="str">
        <x:v>Research B / missed signals and diagnostic errors</x:v>
      </x:c>
      <x:c r="C117" s="19" t="str">
        <x:v>research_evidence_package_missed_signals_diagnostic_errors_2026-05-30.tar.gz::S-006</x:v>
      </x:c>
      <x:c r="D117" s="19" t="str">
        <x:v>S-006</x:v>
      </x:c>
      <x:c r="E117" s="19" t="str">
        <x:v>Research B - missed signals, diagnostic errors, and late discovery cases</x:v>
      </x:c>
      <x:c r="F117" s="19" t="str">
        <x:v>Woman diagnosed with terminal cervical cancer after NHS missed smear tests</x:v>
      </x:c>
      <x:c r="G117" s="19" t="str">
        <x:v>https://www.independent.co.uk/news/health/cervical-cancer-screens-misdiagnosis-nhs-b2563898.html</x:v>
      </x:c>
      <x:c r="H117" s="19" t="str">
        <x:v>News report with trust/legal statements</x:v>
      </x:c>
      <x:c r="I117" s="19" t="str">
        <x:v>unknown</x:v>
      </x:c>
      <x:c r="J117" s="19" t="str">
        <x:v>2024; accessed 2026-05-30</x:v>
      </x:c>
      <x:c r="K117" s="19" t="str">
        <x:v>2026-05-30</x:v>
      </x:c>
      <x:c r="L117" s="19" t="str">
        <x:v>England / United Kingdom</x:v>
      </x:c>
      <x:c r="M117" s="19" t="str">
        <x:v>Case B-019</x:v>
      </x:c>
      <x:c r="N117" s="19" t="str">
        <x:v>Medium</x:v>
      </x:c>
      <x:c r="O117" s="19" t="str">
        <x:v>Case B-019</x:v>
      </x:c>
      <x:c r="P117" s="19" t="str">
        <x:v>01_sources/raw_sources/other/s-006.md</x:v>
      </x:c>
      <x:c r="Q117" s="19" t="str">
        <x:v>Medium: public reporting with institutional response</x:v>
      </x:c>
      <x:c r="R117" s="19" t="str">
        <x:v>2026-05-30</x:v>
      </x:c>
    </x:row>
    <x:row r="118">
      <x:c r="A118" s="19" t="str">
        <x:v>research_evidence_package_missed_signals_diagnostic_errors_2026-05-30.tar.gz</x:v>
      </x:c>
      <x:c r="B118" s="19" t="str">
        <x:v>Research B / missed signals and diagnostic errors</x:v>
      </x:c>
      <x:c r="C118" s="19" t="str">
        <x:v>research_evidence_package_missed_signals_diagnostic_errors_2026-05-30.tar.gz::S-007</x:v>
      </x:c>
      <x:c r="D118" s="19" t="str">
        <x:v>S-007</x:v>
      </x:c>
      <x:c r="E118" s="19" t="str">
        <x:v>Research B - missed signals, diagnostic errors, and late discovery cases</x:v>
      </x:c>
      <x:c r="F118" s="19" t="str">
        <x:v>Long covid and medical gaslighting</x:v>
      </x:c>
      <x:c r="G118" s="19" t="str">
        <x:v>https://www.sciencedirect.com/science/article/pii/S2667321522001299</x:v>
      </x:c>
      <x:c r="H118" s="19" t="str">
        <x:v>Peer-reviewed qualitative survey</x:v>
      </x:c>
      <x:c r="I118" s="19" t="str">
        <x:v>unknown</x:v>
      </x:c>
      <x:c r="J118" s="19" t="str">
        <x:v>2022</x:v>
      </x:c>
      <x:c r="K118" s="19" t="str">
        <x:v>unknown</x:v>
      </x:c>
      <x:c r="L118" s="19" t="str">
        <x:v>United States</x:v>
      </x:c>
      <x:c r="M118" s="19" t="str">
        <x:v>Case/pattern B-020</x:v>
      </x:c>
      <x:c r="N118" s="19" t="str">
        <x:v>Medium</x:v>
      </x:c>
      <x:c r="O118" s="19" t="str">
        <x:v>Case/pattern B-020</x:v>
      </x:c>
      <x:c r="P118" s="19" t="str">
        <x:v>01_sources/raw_sources/other/s-007.md</x:v>
      </x:c>
      <x:c r="Q118" s="19" t="str">
        <x:v>Medium: patient survey; not a single verified chart case</x:v>
      </x:c>
      <x:c r="R118" s="19" t="str">
        <x:v>2026-05-30</x:v>
      </x:c>
    </x:row>
    <x:row r="119">
      <x:c r="A119" s="19" t="str">
        <x:v>research_evidence_package_missed_signals_diagnostic_errors_2026-05-30.tar.gz</x:v>
      </x:c>
      <x:c r="B119" s="19" t="str">
        <x:v>Research B / missed signals and diagnostic errors</x:v>
      </x:c>
      <x:c r="C119" s="19" t="str">
        <x:v>research_evidence_package_missed_signals_diagnostic_errors_2026-05-30.tar.gz::S-008</x:v>
      </x:c>
      <x:c r="D119" s="19" t="str">
        <x:v>S-008</x:v>
      </x:c>
      <x:c r="E119" s="19" t="str">
        <x:v>Research B - missed signals, diagnostic errors, and late discovery cases</x:v>
      </x:c>
      <x:c r="F119" s="19" t="str">
        <x:v>Dysautonomia International POTS Patient Survey</x:v>
      </x:c>
      <x:c r="G119" s="19" t="str">
        <x:v>https://www.dysautonomiainternational.org/page.php?ID=184</x:v>
      </x:c>
      <x:c r="H119" s="19" t="str">
        <x:v>Advocacy patient survey</x:v>
      </x:c>
      <x:c r="I119" s="19" t="str">
        <x:v>unknown</x:v>
      </x:c>
      <x:c r="J119" s="19" t="str">
        <x:v>2013 survey; accessed 2026-05-30</x:v>
      </x:c>
      <x:c r="K119" s="19" t="str">
        <x:v>2026-05-30</x:v>
      </x:c>
      <x:c r="L119" s="19" t="str">
        <x:v>International</x:v>
      </x:c>
      <x:c r="M119" s="19" t="str">
        <x:v>Case/pattern B-021</x:v>
      </x:c>
      <x:c r="N119" s="19" t="str">
        <x:v>Medium</x:v>
      </x:c>
      <x:c r="O119" s="19" t="str">
        <x:v>Case/pattern B-021</x:v>
      </x:c>
      <x:c r="P119" s="19" t="str">
        <x:v>01_sources/raw_sources/other/s-008.md</x:v>
      </x:c>
      <x:c r="Q119" s="19" t="str">
        <x:v>Medium: advocacy survey, large patient-reported sample</x:v>
      </x:c>
      <x:c r="R119" s="19" t="str">
        <x:v>2026-05-30</x:v>
      </x:c>
    </x:row>
    <x:row r="120">
      <x:c r="A120" s="19" t="str">
        <x:v>research_evidence_package_missed_signals_diagnostic_errors_2026-05-30.tar.gz</x:v>
      </x:c>
      <x:c r="B120" s="19" t="str">
        <x:v>Research B / missed signals and diagnostic errors</x:v>
      </x:c>
      <x:c r="C120" s="19" t="str">
        <x:v>research_evidence_package_missed_signals_diagnostic_errors_2026-05-30.tar.gz::S-009</x:v>
      </x:c>
      <x:c r="D120" s="19" t="str">
        <x:v>S-009</x:v>
      </x:c>
      <x:c r="E120" s="19" t="str">
        <x:v>Research B - missed signals, diagnostic errors, and late discovery cases</x:v>
      </x:c>
      <x:c r="F120" s="19" t="str">
        <x:v>Devon woman with ME inquest report</x:v>
      </x:c>
      <x:c r="G120" s="19" t="str">
        <x:v>https://www.theguardian.com/society/article/2024/jul/22/devon-woman-with-me-asked-gp-to-help-her-get-enough-food-to-live-inquest-hears</x:v>
      </x:c>
      <x:c r="H120" s="19" t="str">
        <x:v>News report of coroner's inquest</x:v>
      </x:c>
      <x:c r="I120" s="19" t="str">
        <x:v>unknown</x:v>
      </x:c>
      <x:c r="J120" s="19" t="str">
        <x:v>2024-07-22; modified 2025-04-02</x:v>
      </x:c>
      <x:c r="K120" s="19" t="str">
        <x:v>unknown</x:v>
      </x:c>
      <x:c r="L120" s="19" t="str">
        <x:v>England / United Kingdom</x:v>
      </x:c>
      <x:c r="M120" s="19" t="str">
        <x:v>Case B-022</x:v>
      </x:c>
      <x:c r="N120" s="19" t="str">
        <x:v>Medium</x:v>
      </x:c>
      <x:c r="O120" s="19" t="str">
        <x:v>Case B-022</x:v>
      </x:c>
      <x:c r="P120" s="19" t="str">
        <x:v>01_sources/raw_sources/other/s-009.md</x:v>
      </x:c>
      <x:c r="Q120" s="19" t="str">
        <x:v>Medium: inquest-based journalism</x:v>
      </x:c>
      <x:c r="R120" s="19" t="str">
        <x:v>2026-05-30</x:v>
      </x:c>
    </x:row>
    <x:row r="121">
      <x:c r="A121" s="19" t="str">
        <x:v>research_evidence_package_missed_signals_diagnostic_errors_2026-05-30.tar.gz</x:v>
      </x:c>
      <x:c r="B121" s="19" t="str">
        <x:v>Research B / missed signals and diagnostic errors</x:v>
      </x:c>
      <x:c r="C121" s="19" t="str">
        <x:v>research_evidence_package_missed_signals_diagnostic_errors_2026-05-30.tar.gz::S-010</x:v>
      </x:c>
      <x:c r="D121" s="19" t="str">
        <x:v>S-010</x:v>
      </x:c>
      <x:c r="E121" s="19" t="str">
        <x:v>Research B - missed signals, diagnostic errors, and late discovery cases</x:v>
      </x:c>
      <x:c r="F121" s="19" t="str">
        <x:v>Lupus personal essay</x:v>
      </x:c>
      <x:c r="G121" s="19" t="str">
        <x:v>https://www.popsugar.com/health/how-i-got-my-lupus-diagnosis-personal-essay-49345999</x:v>
      </x:c>
      <x:c r="H121" s="19" t="str">
        <x:v>Public patient essay</x:v>
      </x:c>
      <x:c r="I121" s="19" t="str">
        <x:v>unknown</x:v>
      </x:c>
      <x:c r="J121" s="19" t="str">
        <x:v>2026-05-04</x:v>
      </x:c>
      <x:c r="K121" s="19" t="str">
        <x:v>unknown</x:v>
      </x:c>
      <x:c r="L121" s="19" t="str">
        <x:v>United States</x:v>
      </x:c>
      <x:c r="M121" s="19" t="str">
        <x:v>Case B-023</x:v>
      </x:c>
      <x:c r="N121" s="19" t="str">
        <x:v>Low</x:v>
      </x:c>
      <x:c r="O121" s="19" t="str">
        <x:v>Case B-023</x:v>
      </x:c>
      <x:c r="P121" s="19" t="str">
        <x:v>01_sources/raw_sources/other/s-010.md</x:v>
      </x:c>
      <x:c r="Q121" s="19" t="str">
        <x:v>Low: individual public narrative</x:v>
      </x:c>
      <x:c r="R121" s="19" t="str">
        <x:v>2026-05-30</x:v>
      </x:c>
    </x:row>
    <x:row r="122">
      <x:c r="A122" s="19" t="str">
        <x:v>research_evidence_package_missed_signals_diagnostic_errors_2026-05-30.tar.gz</x:v>
      </x:c>
      <x:c r="B122" s="19" t="str">
        <x:v>Research B / missed signals and diagnostic errors</x:v>
      </x:c>
      <x:c r="C122" s="19" t="str">
        <x:v>research_evidence_package_missed_signals_diagnostic_errors_2026-05-30.tar.gz::S-011</x:v>
      </x:c>
      <x:c r="D122" s="19" t="str">
        <x:v>S-011</x:v>
      </x:c>
      <x:c r="E122" s="19" t="str">
        <x:v>Research B - missed signals, diagnostic errors, and late discovery cases</x:v>
      </x:c>
      <x:c r="F122" s="19" t="str">
        <x:v>Claire's Story: Gender Bias &amp; the Long Road to Diagnosis</x:v>
      </x:c>
      <x:c r="G122" s="19" t="str">
        <x:v>https://www.autoimmuneinstitute.org/autoimmune_stories/claires-story-gender-bias-the-long-road-to-diagnosis/</x:v>
      </x:c>
      <x:c r="H122" s="19" t="str">
        <x:v>Advocacy patient story</x:v>
      </x:c>
      <x:c r="I122" s="19" t="str">
        <x:v>unknown</x:v>
      </x:c>
      <x:c r="J122" s="19" t="str">
        <x:v>Accessed 2026-05-30</x:v>
      </x:c>
      <x:c r="K122" s="19" t="str">
        <x:v>2026-05-30</x:v>
      </x:c>
      <x:c r="L122" s="19" t="str">
        <x:v>United States</x:v>
      </x:c>
      <x:c r="M122" s="19" t="str">
        <x:v>Case B-024</x:v>
      </x:c>
      <x:c r="N122" s="19" t="str">
        <x:v>Low</x:v>
      </x:c>
      <x:c r="O122" s="19" t="str">
        <x:v>Case B-024</x:v>
      </x:c>
      <x:c r="P122" s="19" t="str">
        <x:v>01_sources/raw_sources/other/s-011.md</x:v>
      </x:c>
      <x:c r="Q122" s="19" t="str">
        <x:v>Low: individual public narrative</x:v>
      </x:c>
      <x:c r="R122" s="19" t="str">
        <x:v>2026-05-30</x:v>
      </x:c>
    </x:row>
    <x:row r="123">
      <x:c r="A123" s="19" t="str">
        <x:v>research_evidence_package_missed_signals_diagnostic_errors_2026-05-30.tar.gz</x:v>
      </x:c>
      <x:c r="B123" s="19" t="str">
        <x:v>Research B / missed signals and diagnostic errors</x:v>
      </x:c>
      <x:c r="C123" s="19" t="str">
        <x:v>research_evidence_package_missed_signals_diagnostic_errors_2026-05-30.tar.gz::S-012</x:v>
      </x:c>
      <x:c r="D123" s="19" t="str">
        <x:v>S-012</x:v>
      </x:c>
      <x:c r="E123" s="19" t="str">
        <x:v>Research B - missed signals, diagnostic errors, and late discovery cases</x:v>
      </x:c>
      <x:c r="F123" s="19" t="str">
        <x:v>Pathways to cervical cancer diagnosis among women in Accra, Ghana</x:v>
      </x:c>
      <x:c r="G123" s="19" t="str">
        <x:v>https://doaj.org/article/7ae6f62fe6174a639fc8a63fd8a97cfd</x:v>
      </x:c>
      <x:c r="H123" s="19" t="str">
        <x:v>Peer-reviewed qualitative study listing</x:v>
      </x:c>
      <x:c r="I123" s="19" t="str">
        <x:v>unknown</x:v>
      </x:c>
      <x:c r="J123" s="19" t="str">
        <x:v>Accessed 2026-05-30</x:v>
      </x:c>
      <x:c r="K123" s="19" t="str">
        <x:v>2026-05-30</x:v>
      </x:c>
      <x:c r="L123" s="19" t="str">
        <x:v>Ghana</x:v>
      </x:c>
      <x:c r="M123" s="19" t="str">
        <x:v>Case/pattern B-025</x:v>
      </x:c>
      <x:c r="N123" s="19" t="str">
        <x:v>Medium</x:v>
      </x:c>
      <x:c r="O123" s="19" t="str">
        <x:v>Case/pattern B-025</x:v>
      </x:c>
      <x:c r="P123" s="19" t="str">
        <x:v>01_sources/raw_sources/other/s-012.md</x:v>
      </x:c>
      <x:c r="Q123" s="19" t="str">
        <x:v>Medium: qualitative study; abstract/page-level extraction</x:v>
      </x:c>
      <x:c r="R123" s="19" t="str">
        <x:v>2026-05-30</x:v>
      </x:c>
    </x:row>
    <x:row r="124">
      <x:c r="A124" s="19" t="str">
        <x:v>research_evidence_package_missed_signals_diagnostic_errors_2026-05-30.tar.gz</x:v>
      </x:c>
      <x:c r="B124" s="19" t="str">
        <x:v>Research B / missed signals and diagnostic errors</x:v>
      </x:c>
      <x:c r="C124" s="19" t="str">
        <x:v>research_evidence_package_missed_signals_diagnostic_errors_2026-05-30.tar.gz::S-013</x:v>
      </x:c>
      <x:c r="D124" s="19" t="str">
        <x:v>S-013</x:v>
      </x:c>
      <x:c r="E124" s="19" t="str">
        <x:v>Research B - missed signals, diagnostic errors, and late discovery cases</x:v>
      </x:c>
      <x:c r="F124" s="19" t="str">
        <x:v>Barriers to prompt and effective malaria treatment among children in western Kenya</x:v>
      </x:c>
      <x:c r="G124" s="19" t="str">
        <x:v>https://journals.plos.org/globalpublichealth/article?id=10.1371/journal.pgph.0001532</x:v>
      </x:c>
      <x:c r="H124" s="19" t="str">
        <x:v>Peer-reviewed public-health study</x:v>
      </x:c>
      <x:c r="I124" s="19" t="str">
        <x:v>unknown</x:v>
      </x:c>
      <x:c r="J124" s="19" t="str">
        <x:v>2023; accessed 2026-05-30</x:v>
      </x:c>
      <x:c r="K124" s="19" t="str">
        <x:v>2026-05-30</x:v>
      </x:c>
      <x:c r="L124" s="19" t="str">
        <x:v>Kenya</x:v>
      </x:c>
      <x:c r="M124" s="19" t="str">
        <x:v>Case/pattern B-026</x:v>
      </x:c>
      <x:c r="N124" s="19" t="str">
        <x:v>High</x:v>
      </x:c>
      <x:c r="O124" s="19" t="str">
        <x:v>Case/pattern B-026</x:v>
      </x:c>
      <x:c r="P124" s="19" t="str">
        <x:v>01_sources/raw_sources/other/s-013.md</x:v>
      </x:c>
      <x:c r="Q124" s="19" t="str">
        <x:v>High: peer-reviewed field study</x:v>
      </x:c>
      <x:c r="R124" s="19" t="str">
        <x:v>2026-05-30</x:v>
      </x:c>
    </x:row>
    <x:row r="125">
      <x:c r="A125" s="19" t="str">
        <x:v>research_evidence_package_missed_signals_diagnostic_errors_2026-05-30.tar.gz</x:v>
      </x:c>
      <x:c r="B125" s="19" t="str">
        <x:v>Research B / missed signals and diagnostic errors</x:v>
      </x:c>
      <x:c r="C125" s="19" t="str">
        <x:v>research_evidence_package_missed_signals_diagnostic_errors_2026-05-30.tar.gz::S-014</x:v>
      </x:c>
      <x:c r="D125" s="19" t="str">
        <x:v>S-014</x:v>
      </x:c>
      <x:c r="E125" s="19" t="str">
        <x:v>Research B - missed signals, diagnostic errors, and late discovery cases</x:v>
      </x:c>
      <x:c r="F125" s="19" t="str">
        <x:v>Malaria RDT stockouts and readiness in Mozambique</x:v>
      </x:c>
      <x:c r="G125" s="19" t="str">
        <x:v>https://link.springer.com/article/10.1186/1475-2875-13-295</x:v>
      </x:c>
      <x:c r="H125" s="19" t="str">
        <x:v>Peer-reviewed Malaria Journal study</x:v>
      </x:c>
      <x:c r="I125" s="19" t="str">
        <x:v>unknown</x:v>
      </x:c>
      <x:c r="J125" s="19" t="str">
        <x:v>2014; accessed 2026-05-30</x:v>
      </x:c>
      <x:c r="K125" s="19" t="str">
        <x:v>2026-05-30</x:v>
      </x:c>
      <x:c r="L125" s="19" t="str">
        <x:v>Mozambique</x:v>
      </x:c>
      <x:c r="M125" s="19" t="str">
        <x:v>Case/pattern B-027</x:v>
      </x:c>
      <x:c r="N125" s="19" t="str">
        <x:v>High</x:v>
      </x:c>
      <x:c r="O125" s="19" t="str">
        <x:v>Case/pattern B-027</x:v>
      </x:c>
      <x:c r="P125" s="19" t="str">
        <x:v>01_sources/raw_sources/other/s-014.md</x:v>
      </x:c>
      <x:c r="Q125" s="19" t="str">
        <x:v>High: peer-reviewed facility study</x:v>
      </x:c>
      <x:c r="R125" s="19" t="str">
        <x:v>2026-05-30</x:v>
      </x:c>
    </x:row>
    <x:row r="126">
      <x:c r="A126" s="19" t="str">
        <x:v>research_evidence_package_missed_signals_diagnostic_errors_2026-05-30.tar.gz</x:v>
      </x:c>
      <x:c r="B126" s="19" t="str">
        <x:v>Research B / missed signals and diagnostic errors</x:v>
      </x:c>
      <x:c r="C126" s="19" t="str">
        <x:v>research_evidence_package_missed_signals_diagnostic_errors_2026-05-30.tar.gz::S-015</x:v>
      </x:c>
      <x:c r="D126" s="19" t="str">
        <x:v>S-015</x:v>
      </x:c>
      <x:c r="E126" s="19" t="str">
        <x:v>Research B - missed signals, diagnostic errors, and late discovery cases</x:v>
      </x:c>
      <x:c r="F126" s="19" t="str">
        <x:v>COVID-19 and Tuberculosis Co-Occurrence and Missed Opportunities</x:v>
      </x:c>
      <x:c r="G126" s="19" t="str">
        <x:v>https://wwwnc.cdc.gov/eid/article/30/1/23-0924_article</x:v>
      </x:c>
      <x:c r="H126" s="19" t="str">
        <x:v>CDC EID peer-reviewed article</x:v>
      </x:c>
      <x:c r="I126" s="19" t="str">
        <x:v>unknown</x:v>
      </x:c>
      <x:c r="J126" s="19" t="str">
        <x:v>2024-01</x:v>
      </x:c>
      <x:c r="K126" s="19" t="str">
        <x:v>unknown</x:v>
      </x:c>
      <x:c r="L126" s="19" t="str">
        <x:v>California, United States</x:v>
      </x:c>
      <x:c r="M126" s="19" t="str">
        <x:v>Case/pattern B-028</x:v>
      </x:c>
      <x:c r="N126" s="19" t="str">
        <x:v>High</x:v>
      </x:c>
      <x:c r="O126" s="19" t="str">
        <x:v>Case/pattern B-028</x:v>
      </x:c>
      <x:c r="P126" s="19" t="str">
        <x:v>01_sources/raw_sources/other/s-015.md</x:v>
      </x:c>
      <x:c r="Q126" s="19" t="str">
        <x:v>High: public-health investigation</x:v>
      </x:c>
      <x:c r="R126" s="19" t="str">
        <x:v>2026-05-30</x:v>
      </x:c>
    </x:row>
    <x:row r="127">
      <x:c r="A127" s="19" t="str">
        <x:v>research_evidence_package_patient_complaints_identification_failures_2026-05-30.tar.gz</x:v>
      </x:c>
      <x:c r="B127" s="19" t="str">
        <x:v>Research C / patient complaints and identification failures</x:v>
      </x:c>
      <x:c r="C127" s="19" t="str">
        <x:v>research_evidence_package_patient_complaints_identification_failures_2026-05-30.tar.gz::S001</x:v>
      </x:c>
      <x:c r="D127" s="19" t="str">
        <x:v>S001</x:v>
      </x:c>
      <x:c r="E127" s="19" t="str">
        <x:v>Research C - Patient complaints, raw quotes, reviews, and experience data about health-system identification failures</x:v>
      </x:c>
      <x:c r="F127" s="19" t="str">
        <x:v>Aggressive and dismissive treatment</x:v>
      </x:c>
      <x:c r="G127" s="19" t="str">
        <x:v>https://www.careopinion.org.uk/1429947</x:v>
      </x:c>
      <x:c r="H127" s="19" t="str">
        <x:v>public patient review</x:v>
      </x:c>
      <x:c r="I127" s="19" t="str">
        <x:v>Care Opinion</x:v>
      </x:c>
      <x:c r="J127" s="19" t="str">
        <x:v>unknown</x:v>
      </x:c>
      <x:c r="K127" s="19" t="str">
        <x:v>2026-05-30</x:v>
      </x:c>
      <x:c r="L127" s="19" t="str">
        <x:v>UK</x:v>
      </x:c>
      <x:c r="M127" s="19" t="str">
        <x:v>hospital / acute assessment</x:v>
      </x:c>
      <x:c r="N127" s="19" t="str">
        <x:v>medium</x:v>
      </x:c>
      <x:c r="O127" s="19" t="str">
        <x:v>Patient reported feeling dismissed and silenced during a hospital encounter.</x:v>
      </x:c>
      <x:c r="P127" s="19" t="str">
        <x:v>01_sources/raw_sources/reviews/s001_source_summary.md</x:v>
      </x:c>
      <x:c r="Q127" s="19" t="str">
        <x:v>Raw web page was not saved; source summary file created with URL and context.</x:v>
      </x:c>
      <x:c r="R127" s="19" t="str">
        <x:v>2026-05-30</x:v>
      </x:c>
    </x:row>
    <x:row r="128">
      <x:c r="A128" s="19" t="str">
        <x:v>research_evidence_package_patient_complaints_identification_failures_2026-05-30.tar.gz</x:v>
      </x:c>
      <x:c r="B128" s="19" t="str">
        <x:v>Research C / patient complaints and identification failures</x:v>
      </x:c>
      <x:c r="C128" s="19" t="str">
        <x:v>research_evidence_package_patient_complaints_identification_failures_2026-05-30.tar.gz::S002</x:v>
      </x:c>
      <x:c r="D128" s="19" t="str">
        <x:v>S002</x:v>
      </x:c>
      <x:c r="E128" s="19" t="str">
        <x:v>Research C - Patient complaints, raw quotes, reviews, and experience data about health-system identification failures</x:v>
      </x:c>
      <x:c r="F128" s="19" t="str">
        <x:v>Doctors are not listening to me</x:v>
      </x:c>
      <x:c r="G128" s="19" t="str">
        <x:v>https://www.careopinion.org.uk/1258944</x:v>
      </x:c>
      <x:c r="H128" s="19" t="str">
        <x:v>public patient review</x:v>
      </x:c>
      <x:c r="I128" s="19" t="str">
        <x:v>Care Opinion</x:v>
      </x:c>
      <x:c r="J128" s="19" t="str">
        <x:v>unknown</x:v>
      </x:c>
      <x:c r="K128" s="19" t="str">
        <x:v>2026-05-30</x:v>
      </x:c>
      <x:c r="L128" s="19" t="str">
        <x:v>UK</x:v>
      </x:c>
      <x:c r="M128" s="19" t="str">
        <x:v>primary care</x:v>
      </x:c>
      <x:c r="N128" s="19" t="str">
        <x:v>medium</x:v>
      </x:c>
      <x:c r="O128" s="19" t="str">
        <x:v>Autistic patient reported clinician focused only on reflux and did not address pain/asthma agenda.</x:v>
      </x:c>
      <x:c r="P128" s="19" t="str">
        <x:v>01_sources/raw_sources/reviews/s002_source_summary.md</x:v>
      </x:c>
      <x:c r="Q128" s="19" t="str">
        <x:v>Raw web page was not saved; source summary file created with URL and context.</x:v>
      </x:c>
      <x:c r="R128" s="19" t="str">
        <x:v>2026-05-30</x:v>
      </x:c>
    </x:row>
    <x:row r="129">
      <x:c r="A129" s="19" t="str">
        <x:v>research_evidence_package_patient_complaints_identification_failures_2026-05-30.tar.gz</x:v>
      </x:c>
      <x:c r="B129" s="19" t="str">
        <x:v>Research C / patient complaints and identification failures</x:v>
      </x:c>
      <x:c r="C129" s="19" t="str">
        <x:v>research_evidence_package_patient_complaints_identification_failures_2026-05-30.tar.gz::S003</x:v>
      </x:c>
      <x:c r="D129" s="19" t="str">
        <x:v>S003</x:v>
      </x:c>
      <x:c r="E129" s="19" t="str">
        <x:v>Research C - Patient complaints, raw quotes, reviews, and experience data about health-system identification failures</x:v>
      </x:c>
      <x:c r="F129" s="19" t="str">
        <x:v>Left in pain and sent home with no diagnosis</x:v>
      </x:c>
      <x:c r="G129" s="19" t="str">
        <x:v>https://www.careopinion.org.uk/1117906</x:v>
      </x:c>
      <x:c r="H129" s="19" t="str">
        <x:v>public emergency department review</x:v>
      </x:c>
      <x:c r="I129" s="19" t="str">
        <x:v>Care Opinion</x:v>
      </x:c>
      <x:c r="J129" s="19" t="str">
        <x:v>2023 response; review older</x:v>
      </x:c>
      <x:c r="K129" s="19" t="str">
        <x:v>2026-05-30</x:v>
      </x:c>
      <x:c r="L129" s="19" t="str">
        <x:v>Scotland, UK</x:v>
      </x:c>
      <x:c r="M129" s="19" t="str">
        <x:v>emergency department</x:v>
      </x:c>
      <x:c r="N129" s="19" t="str">
        <x:v>medium</x:v>
      </x:c>
      <x:c r="O129" s="19" t="str">
        <x:v>Patient with severe pain and breathlessness discharged after normal bloods/chest X-ray without explanation.</x:v>
      </x:c>
      <x:c r="P129" s="19" t="str">
        <x:v>01_sources/raw_sources/reviews/s003_source_summary.md</x:v>
      </x:c>
      <x:c r="Q129" s="19" t="str">
        <x:v>Raw web page was not saved; source summary file created with URL and context.</x:v>
      </x:c>
      <x:c r="R129" s="19" t="str">
        <x:v>2026-05-30</x:v>
      </x:c>
    </x:row>
    <x:row r="130">
      <x:c r="A130" s="19" t="str">
        <x:v>research_evidence_package_patient_complaints_identification_failures_2026-05-30.tar.gz</x:v>
      </x:c>
      <x:c r="B130" s="19" t="str">
        <x:v>Research C / patient complaints and identification failures</x:v>
      </x:c>
      <x:c r="C130" s="19" t="str">
        <x:v>research_evidence_package_patient_complaints_identification_failures_2026-05-30.tar.gz::S004</x:v>
      </x:c>
      <x:c r="D130" s="19" t="str">
        <x:v>S004</x:v>
      </x:c>
      <x:c r="E130" s="19" t="str">
        <x:v>Research C - Patient complaints, raw quotes, reviews, and experience data about health-system identification failures</x:v>
      </x:c>
      <x:c r="F130" s="19" t="str">
        <x:v>Dismissed an elderly person</x:v>
      </x:c>
      <x:c r="G130" s="19" t="str">
        <x:v>https://www.careopinion.org.uk/1349233</x:v>
      </x:c>
      <x:c r="H130" s="19" t="str">
        <x:v>public family review</x:v>
      </x:c>
      <x:c r="I130" s="19" t="str">
        <x:v>Care Opinion</x:v>
      </x:c>
      <x:c r="J130" s="19" t="str">
        <x:v>2025 response; review older</x:v>
      </x:c>
      <x:c r="K130" s="19" t="str">
        <x:v>2026-05-30</x:v>
      </x:c>
      <x:c r="L130" s="19" t="str">
        <x:v>England, UK</x:v>
      </x:c>
      <x:c r="M130" s="19" t="str">
        <x:v>A&amp;E, GP, ambulance/111</x:v>
      </x:c>
      <x:c r="N130" s="19" t="str">
        <x:v>medium</x:v>
      </x:c>
      <x:c r="O130" s="19" t="str">
        <x:v>Relative reported severe back pain after bowel cancer was dismissed before spinal cancer diagnosis.</x:v>
      </x:c>
      <x:c r="P130" s="19" t="str">
        <x:v>01_sources/raw_sources/reviews/s004_source_summary.md</x:v>
      </x:c>
      <x:c r="Q130" s="19" t="str">
        <x:v>Raw web page was not saved; source summary file created with URL and context.</x:v>
      </x:c>
      <x:c r="R130" s="19" t="str">
        <x:v>2026-05-30</x:v>
      </x:c>
    </x:row>
    <x:row r="131">
      <x:c r="A131" s="19" t="str">
        <x:v>research_evidence_package_patient_complaints_identification_failures_2026-05-30.tar.gz</x:v>
      </x:c>
      <x:c r="B131" s="19" t="str">
        <x:v>Research C / patient complaints and identification failures</x:v>
      </x:c>
      <x:c r="C131" s="19" t="str">
        <x:v>research_evidence_package_patient_complaints_identification_failures_2026-05-30.tar.gz::S005</x:v>
      </x:c>
      <x:c r="D131" s="19" t="str">
        <x:v>S005</x:v>
      </x:c>
      <x:c r="E131" s="19" t="str">
        <x:v>Research C - Patient complaints, raw quotes, reviews, and experience data about health-system identification failures</x:v>
      </x:c>
      <x:c r="F131" s="19" t="str">
        <x:v>My daughter’s experience at CAMHS</x:v>
      </x:c>
      <x:c r="G131" s="19" t="str">
        <x:v>https://www.careopinion.org.uk/176152</x:v>
      </x:c>
      <x:c r="H131" s="19" t="str">
        <x:v>public parent review</x:v>
      </x:c>
      <x:c r="I131" s="19" t="str">
        <x:v>Care Opinion</x:v>
      </x:c>
      <x:c r="J131" s="19" t="str">
        <x:v>unknown</x:v>
      </x:c>
      <x:c r="K131" s="19" t="str">
        <x:v>2026-05-30</x:v>
      </x:c>
      <x:c r="L131" s="19" t="str">
        <x:v>Scotland, UK</x:v>
      </x:c>
      <x:c r="M131" s="19" t="str">
        <x:v>CAMHS / adolescent mental health</x:v>
      </x:c>
      <x:c r="N131" s="19" t="str">
        <x:v>medium</x:v>
      </x:c>
      <x:c r="O131" s="19" t="str">
        <x:v>Parent reported family history ignored and later bipolar diagnosis after deterioration.</x:v>
      </x:c>
      <x:c r="P131" s="19" t="str">
        <x:v>01_sources/raw_sources/reviews/s005_source_summary.md</x:v>
      </x:c>
      <x:c r="Q131" s="19" t="str">
        <x:v>Raw web page was not saved; source summary file created with URL and context.</x:v>
      </x:c>
      <x:c r="R131" s="19" t="str">
        <x:v>2026-05-30</x:v>
      </x:c>
    </x:row>
    <x:row r="132">
      <x:c r="A132" s="19" t="str">
        <x:v>research_evidence_package_patient_complaints_identification_failures_2026-05-30.tar.gz</x:v>
      </x:c>
      <x:c r="B132" s="19" t="str">
        <x:v>Research C / patient complaints and identification failures</x:v>
      </x:c>
      <x:c r="C132" s="19" t="str">
        <x:v>research_evidence_package_patient_complaints_identification_failures_2026-05-30.tar.gz::S006</x:v>
      </x:c>
      <x:c r="D132" s="19" t="str">
        <x:v>S006</x:v>
      </x:c>
      <x:c r="E132" s="19" t="str">
        <x:v>Research C - Patient complaints, raw quotes, reviews, and experience data about health-system identification failures</x:v>
      </x:c>
      <x:c r="F132" s="19" t="str">
        <x:v>Denied ADHD referral</x:v>
      </x:c>
      <x:c r="G132" s="19" t="str">
        <x:v>https://www.careopinion.org.uk/1167674</x:v>
      </x:c>
      <x:c r="H132" s="19" t="str">
        <x:v>public patient review with service response</x:v>
      </x:c>
      <x:c r="I132" s="19" t="str">
        <x:v>Care Opinion</x:v>
      </x:c>
      <x:c r="J132" s="19" t="str">
        <x:v>2024 response; review older</x:v>
      </x:c>
      <x:c r="K132" s="19" t="str">
        <x:v>2026-05-30</x:v>
      </x:c>
      <x:c r="L132" s="19" t="str">
        <x:v>Scotland, UK</x:v>
      </x:c>
      <x:c r="M132" s="19" t="str">
        <x:v>primary care to mental health referral</x:v>
      </x:c>
      <x:c r="N132" s="19" t="str">
        <x:v>medium</x:v>
      </x:c>
      <x:c r="O132" s="19" t="str">
        <x:v>Patient reported ADHD referral declined without assessment and no adult pathway existed.</x:v>
      </x:c>
      <x:c r="P132" s="19" t="str">
        <x:v>01_sources/raw_sources/reviews/s006_source_summary.md</x:v>
      </x:c>
      <x:c r="Q132" s="19" t="str">
        <x:v>Raw web page was not saved; source summary file created with URL and context.</x:v>
      </x:c>
      <x:c r="R132" s="19" t="str">
        <x:v>2026-05-30</x:v>
      </x:c>
    </x:row>
    <x:row r="133">
      <x:c r="A133" s="19" t="str">
        <x:v>research_evidence_package_patient_complaints_identification_failures_2026-05-30.tar.gz</x:v>
      </x:c>
      <x:c r="B133" s="19" t="str">
        <x:v>Research C / patient complaints and identification failures</x:v>
      </x:c>
      <x:c r="C133" s="19" t="str">
        <x:v>research_evidence_package_patient_complaints_identification_failures_2026-05-30.tar.gz::S007</x:v>
      </x:c>
      <x:c r="D133" s="19" t="str">
        <x:v>S007</x:v>
      </x:c>
      <x:c r="E133" s="19" t="str">
        <x:v>Research C - Patient complaints, raw quotes, reviews, and experience data about health-system identification failures</x:v>
      </x:c>
      <x:c r="F133" s="19" t="str">
        <x:v>Wrongfully diagnosed</x:v>
      </x:c>
      <x:c r="G133" s="19" t="str">
        <x:v>https://www.careopinion.org.uk/1378025</x:v>
      </x:c>
      <x:c r="H133" s="19" t="str">
        <x:v>public patient review</x:v>
      </x:c>
      <x:c r="I133" s="19" t="str">
        <x:v>Care Opinion</x:v>
      </x:c>
      <x:c r="J133" s="19" t="str">
        <x:v>2025 response; review older</x:v>
      </x:c>
      <x:c r="K133" s="19" t="str">
        <x:v>2026-05-30</x:v>
      </x:c>
      <x:c r="L133" s="19" t="str">
        <x:v>England, UK</x:v>
      </x:c>
      <x:c r="M133" s="19" t="str">
        <x:v>A&amp;E, physiotherapy, community services</x:v>
      </x:c>
      <x:c r="N133" s="19" t="str">
        <x:v>medium</x:v>
      </x:c>
      <x:c r="O133" s="19" t="str">
        <x:v>Patient reported documentation confusion around possible cauda equina and unresolved pain.</x:v>
      </x:c>
      <x:c r="P133" s="19" t="str">
        <x:v>01_sources/raw_sources/reviews/s007_source_summary.md</x:v>
      </x:c>
      <x:c r="Q133" s="19" t="str">
        <x:v>Raw web page was not saved; source summary file created with URL and context.</x:v>
      </x:c>
      <x:c r="R133" s="19" t="str">
        <x:v>2026-05-30</x:v>
      </x:c>
    </x:row>
    <x:row r="134">
      <x:c r="A134" s="19" t="str">
        <x:v>research_evidence_package_patient_complaints_identification_failures_2026-05-30.tar.gz</x:v>
      </x:c>
      <x:c r="B134" s="19" t="str">
        <x:v>Research C / patient complaints and identification failures</x:v>
      </x:c>
      <x:c r="C134" s="19" t="str">
        <x:v>research_evidence_package_patient_complaints_identification_failures_2026-05-30.tar.gz::S008</x:v>
      </x:c>
      <x:c r="D134" s="19" t="str">
        <x:v>S008</x:v>
      </x:c>
      <x:c r="E134" s="19" t="str">
        <x:v>Research C - Patient complaints, raw quotes, reviews, and experience data about health-system identification failures</x:v>
      </x:c>
      <x:c r="F134" s="19" t="str">
        <x:v>Broken trust - clinical failings</x:v>
      </x:c>
      <x:c r="G134" s="19" t="str">
        <x:v>https://www.ombudsman.org.uk/publications/broken-trust-making-patient-safety-more-just-promise-report/broken-trust-our-casework-evidence-clinical-failings</x:v>
      </x:c>
      <x:c r="H134" s="19" t="str">
        <x:v>official ombudsman report</x:v>
      </x:c>
      <x:c r="I134" s="19" t="str">
        <x:v>Parliamentary and Health Service Ombudsman</x:v>
      </x:c>
      <x:c r="J134" s="19" t="str">
        <x:v>unknown</x:v>
      </x:c>
      <x:c r="K134" s="19" t="str">
        <x:v>2026-05-30</x:v>
      </x:c>
      <x:c r="L134" s="19" t="str">
        <x:v>England, UK</x:v>
      </x:c>
      <x:c r="M134" s="19" t="str">
        <x:v>hospital, ED, inpatient</x:v>
      </x:c>
      <x:c r="N134" s="19" t="str">
        <x:v>high</x:v>
      </x:c>
      <x:c r="O134" s="19" t="str">
        <x:v>Ombudsman casework including missed pulmonary embolism and failures listening to families.</x:v>
      </x:c>
      <x:c r="P134" s="19" t="str">
        <x:v>01_sources/raw_sources/reports/s008_source_summary.md</x:v>
      </x:c>
      <x:c r="Q134" s="19" t="str">
        <x:v>Raw web page was not saved; source summary file created with URL and context.</x:v>
      </x:c>
      <x:c r="R134" s="19" t="str">
        <x:v>2026-05-30</x:v>
      </x:c>
    </x:row>
    <x:row r="135">
      <x:c r="A135" s="19" t="str">
        <x:v>research_evidence_package_patient_complaints_identification_failures_2026-05-30.tar.gz</x:v>
      </x:c>
      <x:c r="B135" s="19" t="str">
        <x:v>Research C / patient complaints and identification failures</x:v>
      </x:c>
      <x:c r="C135" s="19" t="str">
        <x:v>research_evidence_package_patient_complaints_identification_failures_2026-05-30.tar.gz::S009</x:v>
      </x:c>
      <x:c r="D135" s="19" t="str">
        <x:v>S009</x:v>
      </x:c>
      <x:c r="E135" s="19" t="str">
        <x:v>Research C - Patient complaints, raw quotes, reviews, and experience data about health-system identification failures</x:v>
      </x:c>
      <x:c r="F135" s="19" t="str">
        <x:v>Spotlight on sepsis: your stories, your rights</x:v>
      </x:c>
      <x:c r="G135" s="19" t="str">
        <x:v>https://www.ombudsman.org.uk/spotlight-sepsis-your-stories-your-rights</x:v>
      </x:c>
      <x:c r="H135" s="19" t="str">
        <x:v>official ombudsman report</x:v>
      </x:c>
      <x:c r="I135" s="19" t="str">
        <x:v>Parliamentary and Health Service Ombudsman</x:v>
      </x:c>
      <x:c r="J135" s="19" t="str">
        <x:v>unknown</x:v>
      </x:c>
      <x:c r="K135" s="19" t="str">
        <x:v>2026-05-30</x:v>
      </x:c>
      <x:c r="L135" s="19" t="str">
        <x:v>England, UK</x:v>
      </x:c>
      <x:c r="M135" s="19" t="str">
        <x:v>hospital, discharge, follow-up</x:v>
      </x:c>
      <x:c r="N135" s="19" t="str">
        <x:v>high</x:v>
      </x:c>
      <x:c r="O135" s="19" t="str">
        <x:v>Sepsis complaints show failures in diagnosis, communication, record-keeping and follow-up.</x:v>
      </x:c>
      <x:c r="P135" s="19" t="str">
        <x:v>01_sources/raw_sources/reports/s009_source_summary.md</x:v>
      </x:c>
      <x:c r="Q135" s="19" t="str">
        <x:v>Raw web page was not saved; source summary file created with URL and context.</x:v>
      </x:c>
      <x:c r="R135" s="19" t="str">
        <x:v>2026-05-30</x:v>
      </x:c>
    </x:row>
    <x:row r="136">
      <x:c r="A136" s="19" t="str">
        <x:v>research_evidence_package_patient_complaints_identification_failures_2026-05-30.tar.gz</x:v>
      </x:c>
      <x:c r="B136" s="19" t="str">
        <x:v>Research C / patient complaints and identification failures</x:v>
      </x:c>
      <x:c r="C136" s="19" t="str">
        <x:v>research_evidence_package_patient_complaints_identification_failures_2026-05-30.tar.gz::S010</x:v>
      </x:c>
      <x:c r="D136" s="19" t="str">
        <x:v>S010</x:v>
      </x:c>
      <x:c r="E136" s="19" t="str">
        <x:v>Research C - Patient complaints, raw quotes, reviews, and experience data about health-system identification failures</x:v>
      </x:c>
      <x:c r="F136" s="19" t="str">
        <x:v>Sepsis caused by poor discharge and lack of follow-up</x:v>
      </x:c>
      <x:c r="G136" s="19" t="str">
        <x:v>https://www.ombudsman.org.uk/publications/spotlight-sepsis-your-stories-your-rights/sepsis-caused-poor-discharge-and-lack-follow</x:v>
      </x:c>
      <x:c r="H136" s="19" t="str">
        <x:v>official ombudsman case summary</x:v>
      </x:c>
      <x:c r="I136" s="19" t="str">
        <x:v>Parliamentary and Health Service Ombudsman</x:v>
      </x:c>
      <x:c r="J136" s="19" t="str">
        <x:v>unknown</x:v>
      </x:c>
      <x:c r="K136" s="19" t="str">
        <x:v>2026-05-30</x:v>
      </x:c>
      <x:c r="L136" s="19" t="str">
        <x:v>England, UK</x:v>
      </x:c>
      <x:c r="M136" s="19" t="str">
        <x:v>hospital discharge / follow-up</x:v>
      </x:c>
      <x:c r="N136" s="19" t="str">
        <x:v>high</x:v>
      </x:c>
      <x:c r="O136" s="19" t="str">
        <x:v>Patient discharged after bowel cancer surgery without appropriate drain/follow-up, later died of sepsis.</x:v>
      </x:c>
      <x:c r="P136" s="19" t="str">
        <x:v>01_sources/raw_sources/reports/s010_source_summary.md</x:v>
      </x:c>
      <x:c r="Q136" s="19" t="str">
        <x:v>Raw web page was not saved; source summary file created with URL and context.</x:v>
      </x:c>
      <x:c r="R136" s="19" t="str">
        <x:v>2026-05-30</x:v>
      </x:c>
    </x:row>
    <x:row r="137">
      <x:c r="A137" s="19" t="str">
        <x:v>research_evidence_package_patient_complaints_identification_failures_2026-05-30.tar.gz</x:v>
      </x:c>
      <x:c r="B137" s="19" t="str">
        <x:v>Research C / patient complaints and identification failures</x:v>
      </x:c>
      <x:c r="C137" s="19" t="str">
        <x:v>research_evidence_package_patient_complaints_identification_failures_2026-05-30.tar.gz::S011</x:v>
      </x:c>
      <x:c r="D137" s="19" t="str">
        <x:v>S011</x:v>
      </x:c>
      <x:c r="E137" s="19" t="str">
        <x:v>Research C - Patient complaints, raw quotes, reviews, and experience data about health-system identification failures</x:v>
      </x:c>
      <x:c r="F137" s="19" t="str">
        <x:v>Continuity of care: delayed diagnosis in GP practices</x:v>
      </x:c>
      <x:c r="G137" s="19" t="str">
        <x:v>https://www.hssib.org.uk/patient-safety-investigations/continuity-of-care-delayed-diagnosis-in-gp-practices/investigation-report/</x:v>
      </x:c>
      <x:c r="H137" s="19" t="str">
        <x:v>national patient-safety investigation</x:v>
      </x:c>
      <x:c r="I137" s="19" t="str">
        <x:v>HSSIB</x:v>
      </x:c>
      <x:c r="J137" s="19" t="str">
        <x:v>2023</x:v>
      </x:c>
      <x:c r="K137" s="19" t="str">
        <x:v>2026-05-30</x:v>
      </x:c>
      <x:c r="L137" s="19" t="str">
        <x:v>England, UK</x:v>
      </x:c>
      <x:c r="M137" s="19" t="str">
        <x:v>GP, out-of-hours GP, ED, oncology</x:v>
      </x:c>
      <x:c r="N137" s="19" t="str">
        <x:v>high</x:v>
      </x:c>
      <x:c r="O137" s="19" t="str">
        <x:v>Brian case: repeated GP/out-of-hours contacts over eight months before metastatic breast cancer diagnosis.</x:v>
      </x:c>
      <x:c r="P137" s="19" t="str">
        <x:v>01_sources/raw_sources/reports/s011_source_summary.md</x:v>
      </x:c>
      <x:c r="Q137" s="19" t="str">
        <x:v>Raw web page was not saved; source summary file created with URL and context.</x:v>
      </x:c>
      <x:c r="R137" s="19" t="str">
        <x:v>2026-05-30</x:v>
      </x:c>
    </x:row>
    <x:row r="138">
      <x:c r="A138" s="19" t="str">
        <x:v>research_evidence_package_patient_complaints_identification_failures_2026-05-30.tar.gz</x:v>
      </x:c>
      <x:c r="B138" s="19" t="str">
        <x:v>Research C / patient complaints and identification failures</x:v>
      </x:c>
      <x:c r="C138" s="19" t="str">
        <x:v>research_evidence_package_patient_complaints_identification_failures_2026-05-30.tar.gz::S012</x:v>
      </x:c>
      <x:c r="D138" s="19" t="str">
        <x:v>S012</x:v>
      </x:c>
      <x:c r="E138" s="19" t="str">
        <x:v>Research C - Patient complaints, raw quotes, reviews, and experience data about health-system identification failures</x:v>
      </x:c>
      <x:c r="F138" s="19" t="str">
        <x:v>Delayed diagnosis of diabetes in a child</x:v>
      </x:c>
      <x:c r="G138" s="19" t="str">
        <x:v>https://www.hdc.org.nz/decisions/search-decisions/2023/20hdc02300/</x:v>
      </x:c>
      <x:c r="H138" s="19" t="str">
        <x:v>official complaint decision</x:v>
      </x:c>
      <x:c r="I138" s="19" t="str">
        <x:v>Health and Disability Commissioner New Zealand</x:v>
      </x:c>
      <x:c r="J138" s="19" t="str">
        <x:v>2023</x:v>
      </x:c>
      <x:c r="K138" s="19" t="str">
        <x:v>2026-05-30</x:v>
      </x:c>
      <x:c r="L138" s="19" t="str">
        <x:v>New Zealand</x:v>
      </x:c>
      <x:c r="M138" s="19" t="str">
        <x:v>primary care</x:v>
      </x:c>
      <x:c r="N138" s="19" t="str">
        <x:v>high</x:v>
      </x:c>
      <x:c r="O138" s="19" t="str">
        <x:v>Child diabetes diagnosis delayed despite urinalysis that could have enabled timely diagnosis.</x:v>
      </x:c>
      <x:c r="P138" s="19" t="str">
        <x:v>01_sources/raw_sources/reports/s012_source_summary.md</x:v>
      </x:c>
      <x:c r="Q138" s="19" t="str">
        <x:v>Raw web page was not saved; source summary file created with URL and context.</x:v>
      </x:c>
      <x:c r="R138" s="19" t="str">
        <x:v>2026-05-30</x:v>
      </x:c>
    </x:row>
    <x:row r="139">
      <x:c r="A139" s="19" t="str">
        <x:v>research_evidence_package_patient_complaints_identification_failures_2026-05-30.tar.gz</x:v>
      </x:c>
      <x:c r="B139" s="19" t="str">
        <x:v>Research C / patient complaints and identification failures</x:v>
      </x:c>
      <x:c r="C139" s="19" t="str">
        <x:v>research_evidence_package_patient_complaints_identification_failures_2026-05-30.tar.gz::S013</x:v>
      </x:c>
      <x:c r="D139" s="19" t="str">
        <x:v>S013</x:v>
      </x:c>
      <x:c r="E139" s="19" t="str">
        <x:v>Research C - Patient complaints, raw quotes, reviews, and experience data about health-system identification failures</x:v>
      </x:c>
      <x:c r="F139" s="19" t="str">
        <x:v>Delayed diagnosis of cancer due to missed histology results</x:v>
      </x:c>
      <x:c r="G139" s="19" t="str">
        <x:v>https://www.hdc.org.nz/decisions/search-decisions/2025/22hdc02105/</x:v>
      </x:c>
      <x:c r="H139" s="19" t="str">
        <x:v>official complaint decision</x:v>
      </x:c>
      <x:c r="I139" s="19" t="str">
        <x:v>Health and Disability Commissioner New Zealand</x:v>
      </x:c>
      <x:c r="J139" s="19" t="str">
        <x:v>2025-11-24</x:v>
      </x:c>
      <x:c r="K139" s="19" t="str">
        <x:v>2026-05-30</x:v>
      </x:c>
      <x:c r="L139" s="19" t="str">
        <x:v>New Zealand</x:v>
      </x:c>
      <x:c r="M139" s="19" t="str">
        <x:v>secondary public hospital / shared clinical information system</x:v>
      </x:c>
      <x:c r="N139" s="19" t="str">
        <x:v>high</x:v>
      </x:c>
      <x:c r="O139" s="19" t="str">
        <x:v>Positive prostate cancer histology was not actioned for about six months.</x:v>
      </x:c>
      <x:c r="P139" s="19" t="str">
        <x:v>01_sources/raw_sources/reports/s013_source_summary.md</x:v>
      </x:c>
      <x:c r="Q139" s="19" t="str">
        <x:v>Raw web page was not saved; source summary file created with URL and context.</x:v>
      </x:c>
      <x:c r="R139" s="19" t="str">
        <x:v>2026-05-30</x:v>
      </x:c>
    </x:row>
    <x:row r="140">
      <x:c r="A140" s="19" t="str">
        <x:v>research_evidence_package_patient_complaints_identification_failures_2026-05-30.tar.gz</x:v>
      </x:c>
      <x:c r="B140" s="19" t="str">
        <x:v>Research C / patient complaints and identification failures</x:v>
      </x:c>
      <x:c r="C140" s="19" t="str">
        <x:v>research_evidence_package_patient_complaints_identification_failures_2026-05-30.tar.gz::S014</x:v>
      </x:c>
      <x:c r="D140" s="19" t="str">
        <x:v>S014</x:v>
      </x:c>
      <x:c r="E140" s="19" t="str">
        <x:v>Research C - Patient complaints, raw quotes, reviews, and experience data about health-system identification failures</x:v>
      </x:c>
      <x:c r="F140" s="19" t="str">
        <x:v>Management of abnormal test result</x:v>
      </x:c>
      <x:c r="G140" s="19" t="str">
        <x:v>https://www.hdc.org.nz/decisions/search-decisions/2012/10hdc01419/</x:v>
      </x:c>
      <x:c r="H140" s="19" t="str">
        <x:v>official complaint decision</x:v>
      </x:c>
      <x:c r="I140" s="19" t="str">
        <x:v>Health and Disability Commissioner New Zealand</x:v>
      </x:c>
      <x:c r="J140" s="19" t="str">
        <x:v>2012</x:v>
      </x:c>
      <x:c r="K140" s="19" t="str">
        <x:v>2026-05-30</x:v>
      </x:c>
      <x:c r="L140" s="19" t="str">
        <x:v>New Zealand</x:v>
      </x:c>
      <x:c r="M140" s="19" t="str">
        <x:v>primary care</x:v>
      </x:c>
      <x:c r="N140" s="19" t="str">
        <x:v>high</x:v>
      </x:c>
      <x:c r="O140" s="19" t="str">
        <x:v>Abnormal Bence Jones protein result was marked but patient was not informed or followed up.</x:v>
      </x:c>
      <x:c r="P140" s="19" t="str">
        <x:v>01_sources/raw_sources/reports/s014_source_summary.md</x:v>
      </x:c>
      <x:c r="Q140" s="19" t="str">
        <x:v>Raw web page was not saved; source summary file created with URL and context.</x:v>
      </x:c>
      <x:c r="R140" s="19" t="str">
        <x:v>2026-05-30</x:v>
      </x:c>
    </x:row>
    <x:row r="141">
      <x:c r="A141" s="19" t="str">
        <x:v>research_evidence_package_patient_complaints_identification_failures_2026-05-30.tar.gz</x:v>
      </x:c>
      <x:c r="B141" s="19" t="str">
        <x:v>Research C / patient complaints and identification failures</x:v>
      </x:c>
      <x:c r="C141" s="19" t="str">
        <x:v>research_evidence_package_patient_complaints_identification_failures_2026-05-30.tar.gz::S015</x:v>
      </x:c>
      <x:c r="D141" s="19" t="str">
        <x:v>S015</x:v>
      </x:c>
      <x:c r="E141" s="19" t="str">
        <x:v>Research C - Patient complaints, raw quotes, reviews, and experience data about health-system identification failures</x:v>
      </x:c>
      <x:c r="F141" s="19" t="str">
        <x:v>Follow-up of test results</x:v>
      </x:c>
      <x:c r="G141" s="19" t="str">
        <x:v>https://www.hdc.org.nz/news-resources/search-resources/articles/follow-up-of-test-results/</x:v>
      </x:c>
      <x:c r="H141" s="19" t="str">
        <x:v>official guidance/article</x:v>
      </x:c>
      <x:c r="I141" s="19" t="str">
        <x:v>Health and Disability Commissioner New Zealand</x:v>
      </x:c>
      <x:c r="J141" s="19" t="str">
        <x:v>2016-06-01</x:v>
      </x:c>
      <x:c r="K141" s="19" t="str">
        <x:v>2026-05-30</x:v>
      </x:c>
      <x:c r="L141" s="19" t="str">
        <x:v>New Zealand</x:v>
      </x:c>
      <x:c r="M141" s="19" t="str">
        <x:v>primary and secondary care</x:v>
      </x:c>
      <x:c r="N141" s="19" t="str">
        <x:v>high</x:v>
      </x:c>
      <x:c r="O141" s="19" t="str">
        <x:v>Guidance on duty to advise and follow abnormal results and tracking protocols.</x:v>
      </x:c>
      <x:c r="P141" s="19" t="str">
        <x:v>01_sources/raw_sources/reports/s015_source_summary.md</x:v>
      </x:c>
      <x:c r="Q141" s="19" t="str">
        <x:v>Raw web page was not saved; source summary file created with URL and context.</x:v>
      </x:c>
      <x:c r="R141" s="19" t="str">
        <x:v>2026-05-30</x:v>
      </x:c>
    </x:row>
    <x:row r="142">
      <x:c r="A142" s="19" t="str">
        <x:v>research_evidence_package_patient_complaints_identification_failures_2026-05-30.tar.gz</x:v>
      </x:c>
      <x:c r="B142" s="19" t="str">
        <x:v>Research C / patient complaints and identification failures</x:v>
      </x:c>
      <x:c r="C142" s="19" t="str">
        <x:v>research_evidence_package_patient_complaints_identification_failures_2026-05-30.tar.gz::S016</x:v>
      </x:c>
      <x:c r="D142" s="19" t="str">
        <x:v>S016</x:v>
      </x:c>
      <x:c r="E142" s="19" t="str">
        <x:v>Research C - Patient complaints, raw quotes, reviews, and experience data about health-system identification failures</x:v>
      </x:c>
      <x:c r="F142" s="19" t="str">
        <x:v>Systemic issues within electronic referral system leading to delay</x:v>
      </x:c>
      <x:c r="G142" s="19" t="str">
        <x:v>https://www.hdc.org.nz/decisions/search-decisions/2025/21hdc01378/</x:v>
      </x:c>
      <x:c r="H142" s="19" t="str">
        <x:v>official complaint decision</x:v>
      </x:c>
      <x:c r="I142" s="19" t="str">
        <x:v>Health and Disability Commissioner New Zealand</x:v>
      </x:c>
      <x:c r="J142" s="19" t="str">
        <x:v>2025-05-05</x:v>
      </x:c>
      <x:c r="K142" s="19" t="str">
        <x:v>2026-05-30</x:v>
      </x:c>
      <x:c r="L142" s="19" t="str">
        <x:v>New Zealand</x:v>
      </x:c>
      <x:c r="M142" s="19" t="str">
        <x:v>GP to hospital e-referral / gynecology</x:v>
      </x:c>
      <x:c r="N142" s="19" t="str">
        <x:v>high</x:v>
      </x:c>
      <x:c r="O142" s="19" t="str">
        <x:v>E-referral processing delay associated with ovarian cancer diagnostic delay.</x:v>
      </x:c>
      <x:c r="P142" s="19" t="str">
        <x:v>01_sources/raw_sources/reports/s016_source_summary.md</x:v>
      </x:c>
      <x:c r="Q142" s="19" t="str">
        <x:v>Raw web page was not saved; source summary file created with URL and context.</x:v>
      </x:c>
      <x:c r="R142" s="19" t="str">
        <x:v>2026-05-30</x:v>
      </x:c>
    </x:row>
    <x:row r="143">
      <x:c r="A143" s="19" t="str">
        <x:v>research_evidence_package_patient_complaints_identification_failures_2026-05-30.tar.gz</x:v>
      </x:c>
      <x:c r="B143" s="19" t="str">
        <x:v>Research C / patient complaints and identification failures</x:v>
      </x:c>
      <x:c r="C143" s="19" t="str">
        <x:v>research_evidence_package_patient_complaints_identification_failures_2026-05-30.tar.gz::S017</x:v>
      </x:c>
      <x:c r="D143" s="19" t="str">
        <x:v>S017</x:v>
      </x:c>
      <x:c r="E143" s="19" t="str">
        <x:v>Research C - Patient complaints, raw quotes, reviews, and experience data about health-system identification failures</x:v>
      </x:c>
      <x:c r="F143" s="19" t="str">
        <x:v>Failures in surveillance and monitoring of incidental abnormal radiology finding</x:v>
      </x:c>
      <x:c r="G143" s="19" t="str">
        <x:v>https://www.hdc.org.nz/decisions/search-decisions/2022/19hdc02197/</x:v>
      </x:c>
      <x:c r="H143" s="19" t="str">
        <x:v>official complaint decision</x:v>
      </x:c>
      <x:c r="I143" s="19" t="str">
        <x:v>Health and Disability Commissioner New Zealand</x:v>
      </x:c>
      <x:c r="J143" s="19" t="str">
        <x:v>2022</x:v>
      </x:c>
      <x:c r="K143" s="19" t="str">
        <x:v>2026-05-30</x:v>
      </x:c>
      <x:c r="L143" s="19" t="str">
        <x:v>New Zealand</x:v>
      </x:c>
      <x:c r="M143" s="19" t="str">
        <x:v>radiology, private/public hospital</x:v>
      </x:c>
      <x:c r="N143" s="19" t="str">
        <x:v>high</x:v>
      </x:c>
      <x:c r="O143" s="19" t="str">
        <x:v>Incidental CT finding required surveillance that did not happen, contributing to lung cancer delay.</x:v>
      </x:c>
      <x:c r="P143" s="19" t="str">
        <x:v>01_sources/raw_sources/reports/s017_source_summary.md</x:v>
      </x:c>
      <x:c r="Q143" s="19" t="str">
        <x:v>Raw web page was not saved; source summary file created with URL and context.</x:v>
      </x:c>
      <x:c r="R143" s="19" t="str">
        <x:v>2026-05-30</x:v>
      </x:c>
    </x:row>
    <x:row r="144">
      <x:c r="A144" s="19" t="str">
        <x:v>research_evidence_package_patient_complaints_identification_failures_2026-05-30.tar.gz</x:v>
      </x:c>
      <x:c r="B144" s="19" t="str">
        <x:v>Research C / patient complaints and identification failures</x:v>
      </x:c>
      <x:c r="C144" s="19" t="str">
        <x:v>research_evidence_package_patient_complaints_identification_failures_2026-05-30.tar.gz::S018</x:v>
      </x:c>
      <x:c r="D144" s="19" t="str">
        <x:v>S018</x:v>
      </x:c>
      <x:c r="E144" s="19" t="str">
        <x:v>Research C - Patient complaints, raw quotes, reviews, and experience data about health-system identification failures</x:v>
      </x:c>
      <x:c r="F144" s="19" t="str">
        <x:v>Taya’s Story</x:v>
      </x:c>
      <x:c r="G144" s="19" t="str">
        <x:v>https://www.endometriosis-uk.org/tayas-story</x:v>
      </x:c>
      <x:c r="H144" s="19" t="str">
        <x:v>advocacy patient story</x:v>
      </x:c>
      <x:c r="I144" s="19" t="str">
        <x:v>Endometriosis UK</x:v>
      </x:c>
      <x:c r="J144" s="19" t="str">
        <x:v>2025 context in story</x:v>
      </x:c>
      <x:c r="K144" s="19" t="str">
        <x:v>2026-05-30</x:v>
      </x:c>
      <x:c r="L144" s="19" t="str">
        <x:v>UK</x:v>
      </x:c>
      <x:c r="M144" s="19" t="str">
        <x:v>GP to specialist gynecology</x:v>
      </x:c>
      <x:c r="N144" s="19" t="str">
        <x:v>medium</x:v>
      </x:c>
      <x:c r="O144" s="19" t="str">
        <x:v>Patient described specialist dismissal and later laparoscopy diagnosis of endometriosis.</x:v>
      </x:c>
      <x:c r="P144" s="19" t="str">
        <x:v>01_sources/raw_sources/blogs/s018_source_summary.md</x:v>
      </x:c>
      <x:c r="Q144" s="19" t="str">
        <x:v>Raw web page was not saved; source summary file created with URL and context.</x:v>
      </x:c>
      <x:c r="R144" s="19" t="str">
        <x:v>2026-05-30</x:v>
      </x:c>
    </x:row>
    <x:row r="145">
      <x:c r="A145" s="19" t="str">
        <x:v>research_evidence_package_patient_complaints_identification_failures_2026-05-30.tar.gz</x:v>
      </x:c>
      <x:c r="B145" s="19" t="str">
        <x:v>Research C / patient complaints and identification failures</x:v>
      </x:c>
      <x:c r="C145" s="19" t="str">
        <x:v>research_evidence_package_patient_complaints_identification_failures_2026-05-30.tar.gz::S019</x:v>
      </x:c>
      <x:c r="D145" s="19" t="str">
        <x:v>S019</x:v>
      </x:c>
      <x:c r="E145" s="19" t="str">
        <x:v>Research C - Patient complaints, raw quotes, reviews, and experience data about health-system identification failures</x:v>
      </x:c>
      <x:c r="F145" s="19" t="str">
        <x:v>Orla’s Story</x:v>
      </x:c>
      <x:c r="G145" s="19" t="str">
        <x:v>https://www.endometriosis-uk.org/orlas-story</x:v>
      </x:c>
      <x:c r="H145" s="19" t="str">
        <x:v>advocacy patient story</x:v>
      </x:c>
      <x:c r="I145" s="19" t="str">
        <x:v>Endometriosis UK</x:v>
      </x:c>
      <x:c r="J145" s="19" t="str">
        <x:v>unknown</x:v>
      </x:c>
      <x:c r="K145" s="19" t="str">
        <x:v>2026-05-30</x:v>
      </x:c>
      <x:c r="L145" s="19" t="str">
        <x:v>UK</x:v>
      </x:c>
      <x:c r="M145" s="19" t="str">
        <x:v>primary care, fertility clinic, gynecology</x:v>
      </x:c>
      <x:c r="N145" s="19" t="str">
        <x:v>medium</x:v>
      </x:c>
      <x:c r="O145" s="19" t="str">
        <x:v>Patient said symptoms were normalized and severe endometriosis was diagnosed years later.</x:v>
      </x:c>
      <x:c r="P145" s="19" t="str">
        <x:v>01_sources/raw_sources/blogs/s019_source_summary.md</x:v>
      </x:c>
      <x:c r="Q145" s="19" t="str">
        <x:v>Raw web page was not saved; source summary file created with URL and context.</x:v>
      </x:c>
      <x:c r="R145" s="19" t="str">
        <x:v>2026-05-30</x:v>
      </x:c>
    </x:row>
    <x:row r="146">
      <x:c r="A146" s="19" t="str">
        <x:v>research_evidence_package_patient_complaints_identification_failures_2026-05-30.tar.gz</x:v>
      </x:c>
      <x:c r="B146" s="19" t="str">
        <x:v>Research C / patient complaints and identification failures</x:v>
      </x:c>
      <x:c r="C146" s="19" t="str">
        <x:v>research_evidence_package_patient_complaints_identification_failures_2026-05-30.tar.gz::S020</x:v>
      </x:c>
      <x:c r="D146" s="19" t="str">
        <x:v>S020</x:v>
      </x:c>
      <x:c r="E146" s="19" t="str">
        <x:v>Research C - Patient complaints, raw quotes, reviews, and experience data about health-system identification failures</x:v>
      </x:c>
      <x:c r="F146" s="19" t="str">
        <x:v>Dipika’s Story</x:v>
      </x:c>
      <x:c r="G146" s="19" t="str">
        <x:v>https://www.endometriosis-uk.org/dipikas-story</x:v>
      </x:c>
      <x:c r="H146" s="19" t="str">
        <x:v>advocacy patient story</x:v>
      </x:c>
      <x:c r="I146" s="19" t="str">
        <x:v>Endometriosis UK</x:v>
      </x:c>
      <x:c r="J146" s="19" t="str">
        <x:v>2024 context in story</x:v>
      </x:c>
      <x:c r="K146" s="19" t="str">
        <x:v>2026-05-30</x:v>
      </x:c>
      <x:c r="L146" s="19" t="str">
        <x:v>UK</x:v>
      </x:c>
      <x:c r="M146" s="19" t="str">
        <x:v>primary care to gynecology</x:v>
      </x:c>
      <x:c r="N146" s="19" t="str">
        <x:v>medium</x:v>
      </x:c>
      <x:c r="O146" s="19" t="str">
        <x:v>Patient reported 27-year endometriosis delay after repeated normalization of symptoms.</x:v>
      </x:c>
      <x:c r="P146" s="19" t="str">
        <x:v>01_sources/raw_sources/blogs/s020_source_summary.md</x:v>
      </x:c>
      <x:c r="Q146" s="19" t="str">
        <x:v>Raw web page was not saved; source summary file created with URL and context.</x:v>
      </x:c>
      <x:c r="R146" s="19" t="str">
        <x:v>2026-05-30</x:v>
      </x:c>
    </x:row>
    <x:row r="147">
      <x:c r="A147" s="19" t="str">
        <x:v>research_evidence_package_patient_complaints_identification_failures_2026-05-30.tar.gz</x:v>
      </x:c>
      <x:c r="B147" s="19" t="str">
        <x:v>Research C / patient complaints and identification failures</x:v>
      </x:c>
      <x:c r="C147" s="19" t="str">
        <x:v>research_evidence_package_patient_complaints_identification_failures_2026-05-30.tar.gz::S021</x:v>
      </x:c>
      <x:c r="D147" s="19" t="str">
        <x:v>S021</x:v>
      </x:c>
      <x:c r="E147" s="19" t="str">
        <x:v>Research C - Patient complaints, raw quotes, reviews, and experience data about health-system identification failures</x:v>
      </x:c>
      <x:c r="F147" s="19" t="str">
        <x:v>Stephanie’s Story</x:v>
      </x:c>
      <x:c r="G147" s="19" t="str">
        <x:v>https://www.endometriosis-uk.org/stephanies-story-0</x:v>
      </x:c>
      <x:c r="H147" s="19" t="str">
        <x:v>advocacy patient story</x:v>
      </x:c>
      <x:c r="I147" s="19" t="str">
        <x:v>Endometriosis UK</x:v>
      </x:c>
      <x:c r="J147" s="19" t="str">
        <x:v>unknown</x:v>
      </x:c>
      <x:c r="K147" s="19" t="str">
        <x:v>2026-05-30</x:v>
      </x:c>
      <x:c r="L147" s="19" t="str">
        <x:v>UK</x:v>
      </x:c>
      <x:c r="M147" s="19" t="str">
        <x:v>A&amp;E, imaging, surgery</x:v>
      </x:c>
      <x:c r="N147" s="19" t="str">
        <x:v>medium</x:v>
      </x:c>
      <x:c r="O147" s="19" t="str">
        <x:v>Patient discharged with pain medication; scan/surgery later found cyst and stage 4 endometriosis.</x:v>
      </x:c>
      <x:c r="P147" s="19" t="str">
        <x:v>01_sources/raw_sources/blogs/s021_source_summary.md</x:v>
      </x:c>
      <x:c r="Q147" s="19" t="str">
        <x:v>Raw web page was not saved; source summary file created with URL and context.</x:v>
      </x:c>
      <x:c r="R147" s="19" t="str">
        <x:v>2026-05-30</x:v>
      </x:c>
    </x:row>
    <x:row r="148">
      <x:c r="A148" s="19" t="str">
        <x:v>research_evidence_package_patient_complaints_identification_failures_2026-05-30.tar.gz</x:v>
      </x:c>
      <x:c r="B148" s="19" t="str">
        <x:v>Research C / patient complaints and identification failures</x:v>
      </x:c>
      <x:c r="C148" s="19" t="str">
        <x:v>research_evidence_package_patient_complaints_identification_failures_2026-05-30.tar.gz::S022</x:v>
      </x:c>
      <x:c r="D148" s="19" t="str">
        <x:v>S022</x:v>
      </x:c>
      <x:c r="E148" s="19" t="str">
        <x:v>Research C - Patient complaints, raw quotes, reviews, and experience data about health-system identification failures</x:v>
      </x:c>
      <x:c r="F148" s="19" t="str">
        <x:v>Debbie Cameron, Merseyside</x:v>
      </x:c>
      <x:c r="G148" s="19" t="str">
        <x:v>https://www.bowelcanceruk.org.uk/how-we-can-help/real-life-stories/personal-experiences/debbie-cameron%2C-merseyside/</x:v>
      </x:c>
      <x:c r="H148" s="19" t="str">
        <x:v>advocacy patient story</x:v>
      </x:c>
      <x:c r="I148" s="19" t="str">
        <x:v>Bowel Cancer UK</x:v>
      </x:c>
      <x:c r="J148" s="19" t="str">
        <x:v>2018 diagnosis in story</x:v>
      </x:c>
      <x:c r="K148" s="19" t="str">
        <x:v>2026-05-30</x:v>
      </x:c>
      <x:c r="L148" s="19" t="str">
        <x:v>England, UK</x:v>
      </x:c>
      <x:c r="M148" s="19" t="str">
        <x:v>primary care, screening, colonoscopy</x:v>
      </x:c>
      <x:c r="N148" s="19" t="str">
        <x:v>medium</x:v>
      </x:c>
      <x:c r="O148" s="19" t="str">
        <x:v>Blood in stool was attributed to IBS/piles before stage 3 bowel cancer diagnosis.</x:v>
      </x:c>
      <x:c r="P148" s="19" t="str">
        <x:v>01_sources/raw_sources/blogs/s022_source_summary.md</x:v>
      </x:c>
      <x:c r="Q148" s="19" t="str">
        <x:v>Raw web page was not saved; source summary file created with URL and context.</x:v>
      </x:c>
      <x:c r="R148" s="19" t="str">
        <x:v>2026-05-30</x:v>
      </x:c>
    </x:row>
    <x:row r="149">
      <x:c r="A149" s="19" t="str">
        <x:v>research_evidence_package_patient_complaints_identification_failures_2026-05-30.tar.gz</x:v>
      </x:c>
      <x:c r="B149" s="19" t="str">
        <x:v>Research C / patient complaints and identification failures</x:v>
      </x:c>
      <x:c r="C149" s="19" t="str">
        <x:v>research_evidence_package_patient_complaints_identification_failures_2026-05-30.tar.gz::S023</x:v>
      </x:c>
      <x:c r="D149" s="19" t="str">
        <x:v>S023</x:v>
      </x:c>
      <x:c r="E149" s="19" t="str">
        <x:v>Research C - Patient complaints, raw quotes, reviews, and experience data about health-system identification failures</x:v>
      </x:c>
      <x:c r="F149" s="19" t="str">
        <x:v>Sarah McCollum, Surrey</x:v>
      </x:c>
      <x:c r="G149" s="19" t="str">
        <x:v>https://www.bowelcanceruk.org.uk/how-we-can-help/real-life-stories/younger-people-with-bowel-cancer/sarah-mccollum-surrey/</x:v>
      </x:c>
      <x:c r="H149" s="19" t="str">
        <x:v>advocacy patient story</x:v>
      </x:c>
      <x:c r="I149" s="19" t="str">
        <x:v>Bowel Cancer UK</x:v>
      </x:c>
      <x:c r="J149" s="19" t="str">
        <x:v>2023 diagnosis in story</x:v>
      </x:c>
      <x:c r="K149" s="19" t="str">
        <x:v>2026-05-30</x:v>
      </x:c>
      <x:c r="L149" s="19" t="str">
        <x:v>England, UK</x:v>
      </x:c>
      <x:c r="M149" s="19" t="str">
        <x:v>A&amp;E, gynecology, screening, colonoscopy</x:v>
      </x:c>
      <x:c r="N149" s="19" t="str">
        <x:v>medium</x:v>
      </x:c>
      <x:c r="O149" s="19" t="str">
        <x:v>Young patient with blood in stool reportedly dismissed as too young for bowel cancer.</x:v>
      </x:c>
      <x:c r="P149" s="19" t="str">
        <x:v>01_sources/raw_sources/blogs/s023_source_summary.md</x:v>
      </x:c>
      <x:c r="Q149" s="19" t="str">
        <x:v>Raw web page was not saved; source summary file created with URL and context.</x:v>
      </x:c>
      <x:c r="R149" s="19" t="str">
        <x:v>2026-05-30</x:v>
      </x:c>
    </x:row>
    <x:row r="150">
      <x:c r="A150" s="19" t="str">
        <x:v>research_evidence_package_patient_complaints_identification_failures_2026-05-30.tar.gz</x:v>
      </x:c>
      <x:c r="B150" s="19" t="str">
        <x:v>Research C / patient complaints and identification failures</x:v>
      </x:c>
      <x:c r="C150" s="19" t="str">
        <x:v>research_evidence_package_patient_complaints_identification_failures_2026-05-30.tar.gz::S024</x:v>
      </x:c>
      <x:c r="D150" s="19" t="str">
        <x:v>S024</x:v>
      </x:c>
      <x:c r="E150" s="19" t="str">
        <x:v>Research C - Patient complaints, raw quotes, reviews, and experience data about health-system identification failures</x:v>
      </x:c>
      <x:c r="F150" s="19" t="str">
        <x:v>Never Too Young campaign</x:v>
      </x:c>
      <x:c r="G150" s="19" t="str">
        <x:v>https://www.bowelcanceruk.org.uk/campaigning/never-too-young/never-too-young-the-campaign/</x:v>
      </x:c>
      <x:c r="H150" s="19" t="str">
        <x:v>advocacy research/campaign page</x:v>
      </x:c>
      <x:c r="I150" s="19" t="str">
        <x:v>Bowel Cancer UK</x:v>
      </x:c>
      <x:c r="J150" s="19" t="str">
        <x:v>unknown</x:v>
      </x:c>
      <x:c r="K150" s="19" t="str">
        <x:v>2026-05-30</x:v>
      </x:c>
      <x:c r="L150" s="19" t="str">
        <x:v>UK</x:v>
      </x:c>
      <x:c r="M150" s="19" t="str">
        <x:v>primary care, referral, oncology</x:v>
      </x:c>
      <x:c r="N150" s="19" t="str">
        <x:v>medium</x:v>
      </x:c>
      <x:c r="O150" s="19" t="str">
        <x:v>Campaign reports delays and repeat GP visits among younger bowel cancer patients.</x:v>
      </x:c>
      <x:c r="P150" s="19" t="str">
        <x:v>01_sources/raw_sources/blogs/s024_source_summary.md</x:v>
      </x:c>
      <x:c r="Q150" s="19" t="str">
        <x:v>Raw web page was not saved; source summary file created with URL and context.</x:v>
      </x:c>
      <x:c r="R150" s="19" t="str">
        <x:v>2026-05-30</x:v>
      </x:c>
    </x:row>
    <x:row r="151">
      <x:c r="A151" s="19" t="str">
        <x:v>research_evidence_package_patient_complaints_identification_failures_2026-05-30.tar.gz</x:v>
      </x:c>
      <x:c r="B151" s="19" t="str">
        <x:v>Research C / patient complaints and identification failures</x:v>
      </x:c>
      <x:c r="C151" s="19" t="str">
        <x:v>research_evidence_package_patient_complaints_identification_failures_2026-05-30.tar.gz::S025</x:v>
      </x:c>
      <x:c r="D151" s="19" t="str">
        <x:v>S025</x:v>
      </x:c>
      <x:c r="E151" s="19" t="str">
        <x:v>Research C - Patient complaints, raw quotes, reviews, and experience data about health-system identification failures</x:v>
      </x:c>
      <x:c r="F151" s="19" t="str">
        <x:v>22-year-old diagnosed with terminal cancer after symptoms dismissed</x:v>
      </x:c>
      <x:c r="G151" s="19" t="str">
        <x:v>https://people.com/22-year-old-diagnosed-with-terminal-cancer-after-docs-dismiss-symptoms-11855746</x:v>
      </x:c>
      <x:c r="H151" s="19" t="str">
        <x:v>news patient story</x:v>
      </x:c>
      <x:c r="I151" s="19" t="str">
        <x:v>People / The Sun</x:v>
      </x:c>
      <x:c r="J151" s="19" t="str">
        <x:v>2025</x:v>
      </x:c>
      <x:c r="K151" s="19" t="str">
        <x:v>2026-05-30</x:v>
      </x:c>
      <x:c r="L151" s="19" t="str">
        <x:v>England, UK</x:v>
      </x:c>
      <x:c r="M151" s="19" t="str">
        <x:v>GP, A&amp;E, imaging, oncology</x:v>
      </x:c>
      <x:c r="N151" s="19" t="str">
        <x:v>low-medium</x:v>
      </x:c>
      <x:c r="O151" s="19" t="str">
        <x:v>Severe back pain repeatedly dismissed before stage 4 angiosarcoma diagnosis.</x:v>
      </x:c>
      <x:c r="P151" s="19" t="str">
        <x:v>01_sources/raw_sources/articles/s025_source_summary.md</x:v>
      </x:c>
      <x:c r="Q151" s="19" t="str">
        <x:v>Raw web page was not saved; source summary file created with URL and context.</x:v>
      </x:c>
      <x:c r="R151" s="19" t="str">
        <x:v>2026-05-30</x:v>
      </x:c>
    </x:row>
    <x:row r="152">
      <x:c r="A152" s="19" t="str">
        <x:v>research_evidence_package_patient_complaints_identification_failures_2026-05-30.tar.gz</x:v>
      </x:c>
      <x:c r="B152" s="19" t="str">
        <x:v>Research C / patient complaints and identification failures</x:v>
      </x:c>
      <x:c r="C152" s="19" t="str">
        <x:v>research_evidence_package_patient_complaints_identification_failures_2026-05-30.tar.gz::S026</x:v>
      </x:c>
      <x:c r="D152" s="19" t="str">
        <x:v>S026</x:v>
      </x:c>
      <x:c r="E152" s="19" t="str">
        <x:v>Research C - Patient complaints, raw quotes, reviews, and experience data about health-system identification failures</x:v>
      </x:c>
      <x:c r="F152" s="19" t="str">
        <x:v>Wrong diagnosis killing many patients in Nigerian hospitals</x:v>
      </x:c>
      <x:c r="G152" s="19" t="str">
        <x:v>https://businessday.ng/health/article/wrong-diagnosis-killing-many-patients-in-nigerian-hospitals/</x:v>
      </x:c>
      <x:c r="H152" s="19" t="str">
        <x:v>news health-system story</x:v>
      </x:c>
      <x:c r="I152" s="19" t="str">
        <x:v>BusinessDay Nigeria</x:v>
      </x:c>
      <x:c r="J152" s="19" t="str">
        <x:v>2024-07-21</x:v>
      </x:c>
      <x:c r="K152" s="19" t="str">
        <x:v>2026-05-30</x:v>
      </x:c>
      <x:c r="L152" s="19" t="str">
        <x:v>Nigeria</x:v>
      </x:c>
      <x:c r="M152" s="19" t="str">
        <x:v>clinics/hospitals, labs, gynecology</x:v>
      </x:c>
      <x:c r="N152" s="19" t="str">
        <x:v>low-medium</x:v>
      </x:c>
      <x:c r="O152" s="19" t="str">
        <x:v>Patient accounts of misdiagnosis and late cervical cancer after inconclusive tests and infection treatment.</x:v>
      </x:c>
      <x:c r="P152" s="19" t="str">
        <x:v>01_sources/raw_sources/articles/s026_source_summary.md</x:v>
      </x:c>
      <x:c r="Q152" s="19" t="str">
        <x:v>Raw web page was not saved; source summary file created with URL and context.</x:v>
      </x:c>
      <x:c r="R152" s="19" t="str">
        <x:v>2026-05-30</x:v>
      </x:c>
    </x:row>
    <x:row r="153">
      <x:c r="A153" s="19" t="str">
        <x:v>research_evidence_package_patient_complaints_identification_failures_2026-05-30.tar.gz</x:v>
      </x:c>
      <x:c r="B153" s="19" t="str">
        <x:v>Research C / patient complaints and identification failures</x:v>
      </x:c>
      <x:c r="C153" s="19" t="str">
        <x:v>research_evidence_package_patient_complaints_identification_failures_2026-05-30.tar.gz::S027</x:v>
      </x:c>
      <x:c r="D153" s="19" t="str">
        <x:v>S027</x:v>
      </x:c>
      <x:c r="E153" s="19" t="str">
        <x:v>Research C - Patient complaints, raw quotes, reviews, and experience data about health-system identification failures</x:v>
      </x:c>
      <x:c r="F153" s="19" t="str">
        <x:v>Victims of wrong diagnosis, prescriptions in Kaduna, Katsina, Kano decry rot</x:v>
      </x:c>
      <x:c r="G153" s="19" t="str">
        <x:v>https://gazettengr.com/victims-of-wrong-diagnosis-prescriptions-in-kaduna-katsina-kano-decry-rot-in-nigerias-health-sector/</x:v>
      </x:c>
      <x:c r="H153" s="19" t="str">
        <x:v>news report with patient accounts</x:v>
      </x:c>
      <x:c r="I153" s="19" t="str">
        <x:v>Gazette / NAN</x:v>
      </x:c>
      <x:c r="J153" s="19" t="str">
        <x:v>2025-02-23</x:v>
      </x:c>
      <x:c r="K153" s="19" t="str">
        <x:v>2026-05-30</x:v>
      </x:c>
      <x:c r="L153" s="19" t="str">
        <x:v>Nigeria</x:v>
      </x:c>
      <x:c r="M153" s="19" t="str">
        <x:v>hospitals and labs</x:v>
      </x:c>
      <x:c r="N153" s="19" t="str">
        <x:v>low</x:v>
      </x:c>
      <x:c r="O153" s="19" t="str">
        <x:v>Patient accounts and commentary around wrong diagnosis, equipment, staff attitude, and regulation.</x:v>
      </x:c>
      <x:c r="P153" s="19" t="str">
        <x:v>01_sources/raw_sources/articles/s027_source_summary.md</x:v>
      </x:c>
      <x:c r="Q153" s="19" t="str">
        <x:v>Raw web page was not saved; source summary file created with URL and context.</x:v>
      </x:c>
      <x:c r="R153" s="19" t="str">
        <x:v>2026-05-30</x:v>
      </x:c>
    </x:row>
    <x:row r="154">
      <x:c r="A154" s="19" t="str">
        <x:v>research_evidence_package_patient_complaints_identification_failures_2026-05-30.tar.gz</x:v>
      </x:c>
      <x:c r="B154" s="19" t="str">
        <x:v>Research C / patient complaints and identification failures</x:v>
      </x:c>
      <x:c r="C154" s="19" t="str">
        <x:v>research_evidence_package_patient_complaints_identification_failures_2026-05-30.tar.gz::S028</x:v>
      </x:c>
      <x:c r="D154" s="19" t="str">
        <x:v>S028</x:v>
      </x:c>
      <x:c r="E154" s="19" t="str">
        <x:v>Research C - Patient complaints, raw quotes, reviews, and experience data about health-system identification failures</x:v>
      </x:c>
      <x:c r="F154" s="19" t="str">
        <x:v>Being sick to a cancer patient: pathways and system delay in South India</x:v>
      </x:c>
      <x:c r="G154" s="19" t="str">
        <x:v>https://link.springer.com/article/10.1007/s40847-022-00221-0</x:v>
      </x:c>
      <x:c r="H154" s="19" t="str">
        <x:v>peer-reviewed qualitative study</x:v>
      </x:c>
      <x:c r="I154" s="19" t="str">
        <x:v>Springer / Journal of Cancer Education or related</x:v>
      </x:c>
      <x:c r="J154" s="19" t="str">
        <x:v>2022-11-22</x:v>
      </x:c>
      <x:c r="K154" s="19" t="str">
        <x:v>2026-05-30</x:v>
      </x:c>
      <x:c r="L154" s="19" t="str">
        <x:v>Bengaluru, South India</x:v>
      </x:c>
      <x:c r="M154" s="19" t="str">
        <x:v>cancer help-seeking, referral</x:v>
      </x:c>
      <x:c r="N154" s="19" t="str">
        <x:v>high</x:v>
      </x:c>
      <x:c r="O154" s="19" t="str">
        <x:v>Qualitative evidence on patient, family, practitioner, and system delay factors in cancer diagnosis.</x:v>
      </x:c>
      <x:c r="P154" s="19" t="str">
        <x:v>01_sources/raw_sources/reviews/s028_source_summary.md</x:v>
      </x:c>
      <x:c r="Q154" s="19" t="str">
        <x:v>Raw web page was not saved; source summary file created with URL and context.</x:v>
      </x:c>
      <x:c r="R154" s="19" t="str">
        <x:v>2026-05-30</x:v>
      </x:c>
    </x:row>
    <x:row r="155">
      <x:c r="A155" s="19" t="str">
        <x:v>research_evidence_package_patient_complaints_identification_failures_2026-05-30.tar.gz</x:v>
      </x:c>
      <x:c r="B155" s="19" t="str">
        <x:v>Research C / patient complaints and identification failures</x:v>
      </x:c>
      <x:c r="C155" s="19" t="str">
        <x:v>research_evidence_package_patient_complaints_identification_failures_2026-05-30.tar.gz::S029</x:v>
      </x:c>
      <x:c r="D155" s="19" t="str">
        <x:v>S029</x:v>
      </x:c>
      <x:c r="E155" s="19" t="str">
        <x:v>Research C - Patient complaints, raw quotes, reviews, and experience data about health-system identification failures</x:v>
      </x:c>
      <x:c r="F155" s="19" t="str">
        <x:v>Use of patient complaints to identify diagnosis-related safety concerns</x:v>
      </x:c>
      <x:c r="G155" s="19" t="str">
        <x:v>https://psnet.ahrq.gov/issue/use-patient-complaints-identify-diagnosis-related-safety-concerns-mixed-method-evaluation</x:v>
      </x:c>
      <x:c r="H155" s="19" t="str">
        <x:v>patient-safety literature summary</x:v>
      </x:c>
      <x:c r="I155" s="19" t="str">
        <x:v>AHRQ PSNet / BMJ Quality &amp; Safety</x:v>
      </x:c>
      <x:c r="J155" s="19" t="str">
        <x:v>2021</x:v>
      </x:c>
      <x:c r="K155" s="19" t="str">
        <x:v>2026-05-30</x:v>
      </x:c>
      <x:c r="L155" s="19" t="str">
        <x:v>United States / general</x:v>
      </x:c>
      <x:c r="M155" s="19" t="str">
        <x:v>complaint review / diagnostic safety</x:v>
      </x:c>
      <x:c r="N155" s="19" t="str">
        <x:v>high</x:v>
      </x:c>
      <x:c r="O155" s="19" t="str">
        <x:v>Complaint analysis revealed diagnostic-error themes around return visits, interpersonal issues, and testing.</x:v>
      </x:c>
      <x:c r="P155" s="19" t="str">
        <x:v>01_sources/raw_sources/articles/s029_source_summary.md</x:v>
      </x:c>
      <x:c r="Q155" s="19" t="str">
        <x:v>Raw web page was not saved; source summary file created with URL and context.</x:v>
      </x:c>
      <x:c r="R155" s="19" t="str">
        <x:v>2026-05-30</x:v>
      </x:c>
    </x:row>
    <x:row r="156">
      <x:c r="A156" s="19" t="str">
        <x:v>research_evidence_package_patient_complaints_identification_failures_2026-05-30.tar.gz</x:v>
      </x:c>
      <x:c r="B156" s="19" t="str">
        <x:v>Research C / patient complaints and identification failures</x:v>
      </x:c>
      <x:c r="C156" s="19" t="str">
        <x:v>research_evidence_package_patient_complaints_identification_failures_2026-05-30.tar.gz::S030</x:v>
      </x:c>
      <x:c r="D156" s="19" t="str">
        <x:v>S030</x:v>
      </x:c>
      <x:c r="E156" s="19" t="str">
        <x:v>Research C - Patient complaints, raw quotes, reviews, and experience data about health-system identification failures</x:v>
      </x:c>
      <x:c r="F156" s="19" t="str">
        <x:v>New study investigates diagnostic errors in English general practice</x:v>
      </x:c>
      <x:c r="G156" s="19" t="str">
        <x:v>https://www.manchester.ac.uk/about/news/new-study-investigates-diagnostic-errors-in-english-general-practice/</x:v>
      </x:c>
      <x:c r="H156" s="19" t="str">
        <x:v>academic press release</x:v>
      </x:c>
      <x:c r="I156" s="19" t="str">
        <x:v>University of Manchester</x:v>
      </x:c>
      <x:c r="J156" s="19" t="str">
        <x:v>2021-05-25</x:v>
      </x:c>
      <x:c r="K156" s="19" t="str">
        <x:v>2026-05-30</x:v>
      </x:c>
      <x:c r="L156" s="19" t="str">
        <x:v>England, UK</x:v>
      </x:c>
      <x:c r="M156" s="19" t="str">
        <x:v>general practice</x:v>
      </x:c>
      <x:c r="N156" s="19" t="str">
        <x:v>high</x:v>
      </x:c>
      <x:c r="O156" s="19" t="str">
        <x:v>Study of diagnostic errors in consultations, test interpretation, follow-up, and referral.</x:v>
      </x:c>
      <x:c r="P156" s="19" t="str">
        <x:v>01_sources/raw_sources/articles/s030_source_summary.md</x:v>
      </x:c>
      <x:c r="Q156" s="19" t="str">
        <x:v>Raw web page was not saved; source summary file created with URL and context.</x:v>
      </x:c>
      <x:c r="R156" s="19" t="str">
        <x:v>2026-05-30</x:v>
      </x:c>
    </x:row>
    <x:row r="157">
      <x:c r="A157" s="19" t="str">
        <x:v>research_evidence_package_patient_complaints_identification_failures_2026-05-30.tar.gz</x:v>
      </x:c>
      <x:c r="B157" s="19" t="str">
        <x:v>Research C / patient complaints and identification failures</x:v>
      </x:c>
      <x:c r="C157" s="19" t="str">
        <x:v>research_evidence_package_patient_complaints_identification_failures_2026-05-30.tar.gz::S031</x:v>
      </x:c>
      <x:c r="D157" s="19" t="str">
        <x:v>S031</x:v>
      </x:c>
      <x:c r="E157" s="19" t="str">
        <x:v>Research C - Patient complaints, raw quotes, reviews, and experience data about health-system identification failures</x:v>
      </x:c>
      <x:c r="F157" s="19" t="str">
        <x:v>Diagnostic Errors in the Emergency Department</x:v>
      </x:c>
      <x:c r="G157" s="19" t="str">
        <x:v>https://www.ncbi.nlm.nih.gov/sites/books/NBK588118/</x:v>
      </x:c>
      <x:c r="H157" s="19" t="str">
        <x:v>systematic review</x:v>
      </x:c>
      <x:c r="I157" s="19" t="str">
        <x:v>AHRQ / NCBI Bookshelf</x:v>
      </x:c>
      <x:c r="J157" s="19" t="str">
        <x:v>2022-12</x:v>
      </x:c>
      <x:c r="K157" s="19" t="str">
        <x:v>2026-05-30</x:v>
      </x:c>
      <x:c r="L157" s="19" t="str">
        <x:v>US / international evidence base</x:v>
      </x:c>
      <x:c r="M157" s="19" t="str">
        <x:v>emergency department</x:v>
      </x:c>
      <x:c r="N157" s="19" t="str">
        <x:v>high</x:v>
      </x:c>
      <x:c r="O157" s="19" t="str">
        <x:v>Systematic review on diagnostic errors in emergency departments.</x:v>
      </x:c>
      <x:c r="P157" s="19" t="str">
        <x:v>01_sources/raw_sources/reviews/s031_source_summary.md</x:v>
      </x:c>
      <x:c r="Q157" s="19" t="str">
        <x:v>Raw web page was not saved; source summary file created with URL and context.</x:v>
      </x:c>
      <x:c r="R157" s="19" t="str">
        <x:v>2026-05-30</x:v>
      </x:c>
    </x:row>
    <x:row r="158">
      <x:c r="A158" s="19" t="str">
        <x:v>research_evidence_package_patient_complaints_identification_failures_2026-05-30.tar.gz</x:v>
      </x:c>
      <x:c r="B158" s="19" t="str">
        <x:v>Research C / patient complaints and identification failures</x:v>
      </x:c>
      <x:c r="C158" s="19" t="str">
        <x:v>research_evidence_package_patient_complaints_identification_failures_2026-05-30.tar.gz::S032</x:v>
      </x:c>
      <x:c r="D158" s="19" t="str">
        <x:v>S032</x:v>
      </x:c>
      <x:c r="E158" s="19" t="str">
        <x:v>Research C - Patient complaints, raw quotes, reviews, and experience data about health-system identification failures</x:v>
      </x:c>
      <x:c r="F158" s="19" t="str">
        <x:v>When doctors dismiss symptoms, patients suffer lasting harm</x:v>
      </x:c>
      <x:c r="G158" s="19" t="str">
        <x:v>https://rutgershealth.org/news/when-doctors-dismiss-symptoms-patients-suffer-lasting-harm</x:v>
      </x:c>
      <x:c r="H158" s="19" t="str">
        <x:v>academic health-system article</x:v>
      </x:c>
      <x:c r="I158" s="19" t="str">
        <x:v>Rutgers Health</x:v>
      </x:c>
      <x:c r="J158" s="19" t="str">
        <x:v>2025</x:v>
      </x:c>
      <x:c r="K158" s="19" t="str">
        <x:v>2026-05-30</x:v>
      </x:c>
      <x:c r="L158" s="19" t="str">
        <x:v>international qualitative studies</x:v>
      </x:c>
      <x:c r="M158" s="19" t="str">
        <x:v>difficult-to-diagnose chronic conditions</x:v>
      </x:c>
      <x:c r="N158" s="19" t="str">
        <x:v>high</x:v>
      </x:c>
      <x:c r="O158" s="19" t="str">
        <x:v>Review summarized symptom invalidation and psychological harm.</x:v>
      </x:c>
      <x:c r="P158" s="19" t="str">
        <x:v>01_sources/raw_sources/articles/s032_source_summary.md</x:v>
      </x:c>
      <x:c r="Q158" s="19" t="str">
        <x:v>Raw web page was not saved; source summary file created with URL and context.</x:v>
      </x:c>
      <x:c r="R158" s="19" t="str">
        <x:v>2026-05-30</x:v>
      </x:c>
    </x:row>
    <x:row r="159">
      <x:c r="A159" s="19" t="str">
        <x:v>research_evidence_package_patient_complaints_identification_failures_2026-05-30.tar.gz</x:v>
      </x:c>
      <x:c r="B159" s="19" t="str">
        <x:v>Research C / patient complaints and identification failures</x:v>
      </x:c>
      <x:c r="C159" s="19" t="str">
        <x:v>research_evidence_package_patient_complaints_identification_failures_2026-05-30.tar.gz::S033</x:v>
      </x:c>
      <x:c r="D159" s="19" t="str">
        <x:v>S033</x:v>
      </x:c>
      <x:c r="E159" s="19" t="str">
        <x:v>Research C - Patient complaints, raw quotes, reviews, and experience data about health-system identification failures</x:v>
      </x:c>
      <x:c r="F159" s="19" t="str">
        <x:v>Delayed Diagnosis in the Setting of Virtual Care</x:v>
      </x:c>
      <x:c r="G159" s="19" t="str">
        <x:v>https://psnet.ahrq.gov/web-mm/delayed-diagnosis-setting-virtual-care-remembering-physical-examination</x:v>
      </x:c>
      <x:c r="H159" s="19" t="str">
        <x:v>patient-safety case review</x:v>
      </x:c>
      <x:c r="I159" s="19" t="str">
        <x:v>AHRQ PSNet</x:v>
      </x:c>
      <x:c r="J159" s="19" t="str">
        <x:v>2021</x:v>
      </x:c>
      <x:c r="K159" s="19" t="str">
        <x:v>2026-05-30</x:v>
      </x:c>
      <x:c r="L159" s="19" t="str">
        <x:v>United States</x:v>
      </x:c>
      <x:c r="M159" s="19" t="str">
        <x:v>telehealth, home health, emergency escalation</x:v>
      </x:c>
      <x:c r="N159" s="19" t="str">
        <x:v>high</x:v>
      </x:c>
      <x:c r="O159" s="19" t="str">
        <x:v>Virtual care case emphasizing physical exam limitations and in-person alternatives.</x:v>
      </x:c>
      <x:c r="P159" s="19" t="str">
        <x:v>01_sources/raw_sources/reviews/s033_source_summary.md</x:v>
      </x:c>
      <x:c r="Q159" s="19" t="str">
        <x:v>Raw web page was not saved; source summary file created with URL and context.</x:v>
      </x:c>
      <x:c r="R159" s="19" t="str">
        <x:v>2026-05-30</x:v>
      </x:c>
    </x:row>
    <x:row r="160">
      <x:c r="A160" s="19" t="str">
        <x:v>research_evidence_package_patient_complaints_identification_failures_2026-05-30.tar.gz</x:v>
      </x:c>
      <x:c r="B160" s="19" t="str">
        <x:v>Research C / patient complaints and identification failures</x:v>
      </x:c>
      <x:c r="C160" s="19" t="str">
        <x:v>research_evidence_package_patient_complaints_identification_failures_2026-05-30.tar.gz::S034</x:v>
      </x:c>
      <x:c r="D160" s="19" t="str">
        <x:v>S034</x:v>
      </x:c>
      <x:c r="E160" s="19" t="str">
        <x:v>Research C - Patient complaints, raw quotes, reviews, and experience data about health-system identification failures</x:v>
      </x:c>
      <x:c r="F160" s="19" t="str">
        <x:v>Myasthenia Crisis after Delayed Diagnosis in a Medically Complex Patient</x:v>
      </x:c>
      <x:c r="G160" s="19" t="str">
        <x:v>https://psnet.ahrq.gov/web-mm/myasthenia-crisis-after-delayed-diagnosis-medically-complex-patient</x:v>
      </x:c>
      <x:c r="H160" s="19" t="str">
        <x:v>patient-safety case review</x:v>
      </x:c>
      <x:c r="I160" s="19" t="str">
        <x:v>AHRQ PSNet</x:v>
      </x:c>
      <x:c r="J160" s="19" t="str">
        <x:v>unknown</x:v>
      </x:c>
      <x:c r="K160" s="19" t="str">
        <x:v>2026-05-30</x:v>
      </x:c>
      <x:c r="L160" s="19" t="str">
        <x:v>United States</x:v>
      </x:c>
      <x:c r="M160" s="19" t="str">
        <x:v>ED, primary care, neurology</x:v>
      </x:c>
      <x:c r="N160" s="19" t="str">
        <x:v>high</x:v>
      </x:c>
      <x:c r="O160" s="19" t="str">
        <x:v>Prior lab result review revealed myasthenia gravis after crisis.</x:v>
      </x:c>
      <x:c r="P160" s="19" t="str">
        <x:v>01_sources/raw_sources/reviews/s034_source_summary.md</x:v>
      </x:c>
      <x:c r="Q160" s="19" t="str">
        <x:v>Raw web page was not saved; source summary file created with URL and context.</x:v>
      </x:c>
      <x:c r="R160" s="19" t="str">
        <x:v>2026-05-30</x:v>
      </x:c>
    </x:row>
    <x:row r="161">
      <x:c r="A161" s="19" t="str">
        <x:v>research_evidence_package_patient_complaints_identification_failures_2026-05-30.tar.gz</x:v>
      </x:c>
      <x:c r="B161" s="19" t="str">
        <x:v>Research C / patient complaints and identification failures</x:v>
      </x:c>
      <x:c r="C161" s="19" t="str">
        <x:v>research_evidence_package_patient_complaints_identification_failures_2026-05-30.tar.gz::S035</x:v>
      </x:c>
      <x:c r="D161" s="19" t="str">
        <x:v>S035</x:v>
      </x:c>
      <x:c r="E161" s="19" t="str">
        <x:v>Research C - Patient complaints, raw quotes, reviews, and experience data about health-system identification failures</x:v>
      </x:c>
      <x:c r="F161" s="19" t="str">
        <x:v>Critical Echocardiogram Result Lost to Follow-up</x:v>
      </x:c>
      <x:c r="G161" s="19" t="str">
        <x:v>https://psnet.ahrq.gov/web-mm/critical-echocardiogram-result-lost-follow</x:v>
      </x:c>
      <x:c r="H161" s="19" t="str">
        <x:v>patient-safety case review</x:v>
      </x:c>
      <x:c r="I161" s="19" t="str">
        <x:v>AHRQ PSNet</x:v>
      </x:c>
      <x:c r="J161" s="19" t="str">
        <x:v>unknown</x:v>
      </x:c>
      <x:c r="K161" s="19" t="str">
        <x:v>2026-05-30</x:v>
      </x:c>
      <x:c r="L161" s="19" t="str">
        <x:v>United States</x:v>
      </x:c>
      <x:c r="M161" s="19" t="str">
        <x:v>hospital discharge, skilled nursing facility</x:v>
      </x:c>
      <x:c r="N161" s="19" t="str">
        <x:v>high</x:v>
      </x:c>
      <x:c r="O161" s="19" t="str">
        <x:v>Critical result sent to unchecked inbox; patient died after readmission.</x:v>
      </x:c>
      <x:c r="P161" s="19" t="str">
        <x:v>01_sources/raw_sources/reviews/s035_source_summary.md</x:v>
      </x:c>
      <x:c r="Q161" s="19" t="str">
        <x:v>Raw web page was not saved; source summary file created with URL and context.</x:v>
      </x:c>
      <x:c r="R161" s="19" t="str">
        <x:v>2026-05-30</x:v>
      </x:c>
    </x:row>
    <x:row r="162">
      <x:c r="A162" s="19" t="str">
        <x:v>research_evidence_package_patient_complaints_identification_failures_2026-05-30.tar.gz</x:v>
      </x:c>
      <x:c r="B162" s="19" t="str">
        <x:v>Research C / patient complaints and identification failures</x:v>
      </x:c>
      <x:c r="C162" s="19" t="str">
        <x:v>research_evidence_package_patient_complaints_identification_failures_2026-05-30.tar.gz::S036</x:v>
      </x:c>
      <x:c r="D162" s="19" t="str">
        <x:v>S036</x:v>
      </x:c>
      <x:c r="E162" s="19" t="str">
        <x:v>Research C - Patient complaints, raw quotes, reviews, and experience data about health-system identification failures</x:v>
      </x:c>
      <x:c r="F162" s="19" t="str">
        <x:v>Martha’s Rule</x:v>
      </x:c>
      <x:c r="G162" s="19" t="str">
        <x:v>https://www.england.nhs.uk/patient-safety/marthas-rule/</x:v>
      </x:c>
      <x:c r="H162" s="19" t="str">
        <x:v>national patient-safety initiative</x:v>
      </x:c>
      <x:c r="I162" s="19" t="str">
        <x:v>NHS England</x:v>
      </x:c>
      <x:c r="J162" s="19" t="str">
        <x:v>current page accessed 2026-05-30</x:v>
      </x:c>
      <x:c r="K162" s="19" t="str">
        <x:v>2026-05-30</x:v>
      </x:c>
      <x:c r="L162" s="19" t="str">
        <x:v>England, UK</x:v>
      </x:c>
      <x:c r="M162" s="19" t="str">
        <x:v>inpatient acute care</x:v>
      </x:c>
      <x:c r="N162" s="19" t="str">
        <x:v>high</x:v>
      </x:c>
      <x:c r="O162" s="19" t="str">
        <x:v>Rapid review route when patients/families/carers feel deterioration concerns are not answered.</x:v>
      </x:c>
      <x:c r="P162" s="19" t="str">
        <x:v>01_sources/raw_sources/reports/s036_source_summary.md</x:v>
      </x:c>
      <x:c r="Q162" s="19" t="str">
        <x:v>Raw web page was not saved; source summary file created with URL and context.</x:v>
      </x:c>
      <x:c r="R162" s="19" t="str">
        <x:v>2026-05-30</x:v>
      </x:c>
    </x:row>
    <x:row r="163">
      <x:c r="A163" s="19" t="str">
        <x:v>research_evidence_package_patient_complaints_identification_failures_2026-05-30.tar.gz</x:v>
      </x:c>
      <x:c r="B163" s="19" t="str">
        <x:v>Research C / patient complaints and identification failures</x:v>
      </x:c>
      <x:c r="C163" s="19" t="str">
        <x:v>research_evidence_package_patient_complaints_identification_failures_2026-05-30.tar.gz::S037</x:v>
      </x:c>
      <x:c r="D163" s="19" t="str">
        <x:v>S037</x:v>
      </x:c>
      <x:c r="E163" s="19" t="str">
        <x:v>Research C - Patient complaints, raw quotes, reviews, and experience data about health-system identification failures</x:v>
      </x:c>
      <x:c r="F163" s="19" t="str">
        <x:v>A very thorough doctor</x:v>
      </x:c>
      <x:c r="G163" s="19" t="str">
        <x:v>https://www.careopinion.org.uk/1333013</x:v>
      </x:c>
      <x:c r="H163" s="19" t="str">
        <x:v>public positive review</x:v>
      </x:c>
      <x:c r="I163" s="19" t="str">
        <x:v>Care Opinion</x:v>
      </x:c>
      <x:c r="J163" s="19" t="str">
        <x:v>unknown</x:v>
      </x:c>
      <x:c r="K163" s="19" t="str">
        <x:v>2026-05-30</x:v>
      </x:c>
      <x:c r="L163" s="19" t="str">
        <x:v>UK</x:v>
      </x:c>
      <x:c r="M163" s="19" t="str">
        <x:v>primary care / NHS-linked review</x:v>
      </x:c>
      <x:c r="N163" s="19" t="str">
        <x:v>medium</x:v>
      </x:c>
      <x:c r="O163" s="19" t="str">
        <x:v>Positive review of doctor who listened, explained results, examined, and kept differential open.</x:v>
      </x:c>
      <x:c r="P163" s="19" t="str">
        <x:v>01_sources/raw_sources/reviews/s037_source_summary.md</x:v>
      </x:c>
      <x:c r="Q163" s="19" t="str">
        <x:v>Raw web page was not saved; source summary file created with URL and context.</x:v>
      </x:c>
      <x:c r="R163" s="19" t="str">
        <x:v>2026-05-30</x:v>
      </x:c>
    </x:row>
    <x:row r="164">
      <x:c r="A164" s="19" t="str">
        <x:v>research_evidence_package_patient_complaints_identification_failures_2026-05-30.tar.gz</x:v>
      </x:c>
      <x:c r="B164" s="19" t="str">
        <x:v>Research C / patient complaints and identification failures</x:v>
      </x:c>
      <x:c r="C164" s="19" t="str">
        <x:v>research_evidence_package_patient_complaints_identification_failures_2026-05-30.tar.gz::S038</x:v>
      </x:c>
      <x:c r="D164" s="19" t="str">
        <x:v>S038</x:v>
      </x:c>
      <x:c r="E164" s="19" t="str">
        <x:v>Research C - Patient complaints, raw quotes, reviews, and experience data about health-system identification failures</x:v>
      </x:c>
      <x:c r="F164" s="19" t="str">
        <x:v>Consultant saw me as a whole person</x:v>
      </x:c>
      <x:c r="G164" s="19" t="str">
        <x:v>https://www.careopinion.org.uk/1065736</x:v>
      </x:c>
      <x:c r="H164" s="19" t="str">
        <x:v>public positive review</x:v>
      </x:c>
      <x:c r="I164" s="19" t="str">
        <x:v>Care Opinion</x:v>
      </x:c>
      <x:c r="J164" s="19" t="str">
        <x:v>unknown</x:v>
      </x:c>
      <x:c r="K164" s="19" t="str">
        <x:v>2026-05-30</x:v>
      </x:c>
      <x:c r="L164" s="19" t="str">
        <x:v>Northern Ireland / UK</x:v>
      </x:c>
      <x:c r="M164" s="19" t="str">
        <x:v>specialist outpatient / cancer-related care</x:v>
      </x:c>
      <x:c r="N164" s="19" t="str">
        <x:v>medium</x:v>
      </x:c>
      <x:c r="O164" s="19" t="str">
        <x:v>Positive review of whole-person cancer-related consultation.</x:v>
      </x:c>
      <x:c r="P164" s="19" t="str">
        <x:v>01_sources/raw_sources/reviews/s038_source_summary.md</x:v>
      </x:c>
      <x:c r="Q164" s="19" t="str">
        <x:v>Raw web page was not saved; source summary file created with URL and context.</x:v>
      </x:c>
      <x:c r="R164" s="19" t="str">
        <x:v>2026-05-30</x:v>
      </x:c>
    </x:row>
    <x:row r="165">
      <x:c r="A165" s="19" t="str">
        <x:v>research_evidence_package_patient_complaints_identification_failures_2026-05-30.tar.gz</x:v>
      </x:c>
      <x:c r="B165" s="19" t="str">
        <x:v>Research C / patient complaints and identification failures</x:v>
      </x:c>
      <x:c r="C165" s="19" t="str">
        <x:v>research_evidence_package_patient_complaints_identification_failures_2026-05-30.tar.gz::S039</x:v>
      </x:c>
      <x:c r="D165" s="19" t="str">
        <x:v>S039</x:v>
      </x:c>
      <x:c r="E165" s="19" t="str">
        <x:v>Research C - Patient complaints, raw quotes, reviews, and experience data about health-system identification failures</x:v>
      </x:c>
      <x:c r="F165" s="19" t="str">
        <x:v>Health visitor support for postpartum depression/anxiety</x:v>
      </x:c>
      <x:c r="G165" s="19" t="str">
        <x:v>https://www.careopinion.org.uk/1328982</x:v>
      </x:c>
      <x:c r="H165" s="19" t="str">
        <x:v>public positive review</x:v>
      </x:c>
      <x:c r="I165" s="19" t="str">
        <x:v>Care Opinion</x:v>
      </x:c>
      <x:c r="J165" s="19" t="str">
        <x:v>unknown</x:v>
      </x:c>
      <x:c r="K165" s="19" t="str">
        <x:v>2026-05-30</x:v>
      </x:c>
      <x:c r="L165" s="19" t="str">
        <x:v>Northern Ireland / UK</x:v>
      </x:c>
      <x:c r="M165" s="19" t="str">
        <x:v>home/community health visiting</x:v>
      </x:c>
      <x:c r="N165" s="19" t="str">
        <x:v>medium</x:v>
      </x:c>
      <x:c r="O165" s="19" t="str">
        <x:v>Positive continuity example with weekly health visitor visits and call-back access.</x:v>
      </x:c>
      <x:c r="P165" s="19" t="str">
        <x:v>01_sources/raw_sources/reviews/s039_source_summary.md</x:v>
      </x:c>
      <x:c r="Q165" s="19" t="str">
        <x:v>Raw web page was not saved; source summary file created with URL and context.</x:v>
      </x:c>
      <x:c r="R165" s="19" t="str">
        <x:v>2026-05-30</x:v>
      </x:c>
    </x:row>
  </x:sheetData>
  <x:pageMargins left="0.7" right="0.7" top="0.75" bottom="0.75" header="0.3" footer="0.3"/>
  <x:tableParts count="1">
    <x:tablePart xmlns:r="http://schemas.openxmlformats.org/officeDocument/2006/relationships" r:id="Rfc93e6126d9b48d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45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55" hidden="0" customWidth="1"/>
    <x:col min="15" max="15" width="55" hidden="0" customWidth="1"/>
    <x:col min="16" max="16" width="52" hidden="0" customWidth="1"/>
    <x:col min="17" max="17" width="18" hidden="0" customWidth="1"/>
    <x:col min="18" max="18" width="50" hidden="0" customWidth="1"/>
    <x:col min="19" max="19" width="36" hidden="0" customWidth="1"/>
    <x:col min="20" max="20" width="36" hidden="0" customWidth="1"/>
    <x:col min="21" max="21" width="55" hidden="0" customWidth="1"/>
  </x:cols>
  <x:sheetData>
    <x:row r="1" ht="45" customHeight="1">
      <x:c r="A1" s="18" t="str">
        <x:v>package_key</x:v>
      </x:c>
      <x:c r="B1" s="18" t="str">
        <x:v>package_filename</x:v>
      </x:c>
      <x:c r="C1" s="18" t="str">
        <x:v>package_topic</x:v>
      </x:c>
      <x:c r="D1" s="18" t="str">
        <x:v>table_type</x:v>
      </x:c>
      <x:c r="E1" s="18" t="str">
        <x:v>internal_id</x:v>
      </x:c>
      <x:c r="F1" s="18" t="str">
        <x:v>source_id</x:v>
      </x:c>
      <x:c r="G1" s="18" t="str">
        <x:v>source_title</x:v>
      </x:c>
      <x:c r="H1" s="18" t="str">
        <x:v>source_url_or_identifier</x:v>
      </x:c>
      <x:c r="I1" s="18" t="str">
        <x:v>country_or_region</x:v>
      </x:c>
      <x:c r="J1" s="18" t="str">
        <x:v>setting_or_context</x:v>
      </x:c>
      <x:c r="K1" s="18" t="str">
        <x:v>patient_stage_or_process_step</x:v>
      </x:c>
      <x:c r="L1" s="18" t="str">
        <x:v>condition_or_issue</x:v>
      </x:c>
      <x:c r="M1" s="18" t="str">
        <x:v>topic_category_or_theme</x:v>
      </x:c>
      <x:c r="N1" s="18" t="str">
        <x:v>finding_or_quote_or_case</x:v>
      </x:c>
      <x:c r="O1" s="18" t="str">
        <x:v>what_happened</x:v>
      </x:c>
      <x:c r="P1" s="18" t="str">
        <x:v>what_was_missed_or_identified</x:v>
      </x:c>
      <x:c r="Q1" s="18" t="str">
        <x:v>delay_or_timeline</x:v>
      </x:c>
      <x:c r="R1" s="18" t="str">
        <x:v>product_or_system_implication</x:v>
      </x:c>
      <x:c r="S1" s="18" t="str">
        <x:v>evidence_quality</x:v>
      </x:c>
      <x:c r="T1" s="18" t="str">
        <x:v>source_file_path</x:v>
      </x:c>
      <x:c r="U1" s="18" t="str">
        <x:v>evidence_ref</x:v>
      </x:c>
    </x:row>
    <x:row r="2">
      <x:c r="A2" s="19" t="str">
        <x:v>D_clinician</x:v>
      </x:c>
      <x:c r="B2" s="19" t="str">
        <x:v>research_evidence_package_clinician_side_diagnostic_pain_points_2026-05-30.tar.gz</x:v>
      </x:c>
      <x:c r="C2" s="19" t="str">
        <x:v>Research D / clinician-side diagnostic pain points</x:v>
      </x:c>
      <x:c r="D2" s="19" t="str">
        <x:v>evidence_item</x:v>
      </x:c>
      <x:c r="E2" s="19" t="str">
        <x:v>E001</x:v>
      </x:c>
      <x:c r="F2" s="19" t="str">
        <x:v>S005</x:v>
      </x:c>
      <x:c r="G2" s="19" t="str">
        <x:v>Information Overload and Missed Test Results in Electronic Health Record-Based Settings</x:v>
      </x:c>
      <x:c r="H2" s="19" t="str">
        <x:v>https://jamanetwork.com/journals/jamainternalmedicine/fullarticle/1657753</x:v>
      </x:c>
      <x:c r="I2" s="19" t="str">
        <x:v>United States</x:v>
      </x:c>
      <x:c r="J2" s="19" t="str">
        <x:v>VA primary care</x:v>
      </x:c>
      <x:c r="K2" s="19" t="str">
        <x:v>lab interpretation / imaging interpretation / follow-up</x:v>
      </x:c>
      <x:c r="L2" s="19" t="str">
        <x:v>abnormal laboratory or imaging results</x:v>
      </x:c>
      <x:c r="M2" s="19" t="str">
        <x:v>alert fatigue</x:v>
      </x:c>
      <x:c r="N2" s="19" t="str">
        <x:v>High EHR alert load was linked with clinicians reporting missed abnormal results.</x:v>
      </x:c>
      <x:c r="O2" s="19" t="str">
        <x:v>PCPs received many alerts and reported overload, poor usability, and handoff problems.</x:v>
      </x:c>
      <x:c r="P2" s="19" t="str">
        <x:v>Abnormal results could be missed or delayed.</x:v>
      </x:c>
      <x:c r="Q2" s="19" t="str"/>
      <x:c r="R2" s="19" t="str">
        <x:v>Risk-ranked result inbox with owner, severity, patient-notified status, and escalation.</x:v>
      </x:c>
      <x:c r="S2" s="19" t="str">
        <x:v>high</x:v>
      </x:c>
      <x:c r="T2" s="19" t="str">
        <x:v>02_extracted_evidence/evidence_items.csv</x:v>
      </x:c>
      <x:c r="U2" s="19" t="str">
        <x:v>research_evidence_package_clinician_side_diagnostic_pain_points_2026-05-30.tar.gz::02_extracted_evidence/evidence_items.csv::E001</x:v>
      </x:c>
    </x:row>
    <x:row r="3">
      <x:c r="A3" s="19" t="str">
        <x:v>D_clinician</x:v>
      </x:c>
      <x:c r="B3" s="19" t="str">
        <x:v>research_evidence_package_clinician_side_diagnostic_pain_points_2026-05-30.tar.gz</x:v>
      </x:c>
      <x:c r="C3" s="19" t="str">
        <x:v>Research D / clinician-side diagnostic pain points</x:v>
      </x:c>
      <x:c r="D3" s="19" t="str">
        <x:v>evidence_item</x:v>
      </x:c>
      <x:c r="E3" s="19" t="str">
        <x:v>E002</x:v>
      </x:c>
      <x:c r="F3" s="19" t="str">
        <x:v>S006</x:v>
      </x:c>
      <x:c r="G3" s="19" t="str">
        <x:v>Types and Origins of Diagnostic Errors in Primary Care Settings</x:v>
      </x:c>
      <x:c r="H3" s="19" t="str">
        <x:v>https://jamanetwork.com/journals/jamainternalmedicine/fullarticle/1656540</x:v>
      </x:c>
      <x:c r="I3" s="19" t="str">
        <x:v>United States</x:v>
      </x:c>
      <x:c r="J3" s="19" t="str">
        <x:v>primary care</x:v>
      </x:c>
      <x:c r="K3" s="19" t="str">
        <x:v>first assessment / history / exam / tests / referral</x:v>
      </x:c>
      <x:c r="L3" s="19" t="str">
        <x:v>common missed diagnoses</x:v>
      </x:c>
      <x:c r="M3" s="19" t="str">
        <x:v>diagnostic process breakdown</x:v>
      </x:c>
      <x:c r="N3" s="19" t="str">
        <x:v>Reviewed diagnostic-error cases showed breakdowns across history, exam, testing, referral, and tracking.</x:v>
      </x:c>
      <x:c r="O3" s="19" t="str">
        <x:v>190 diagnostic-error cases were reviewed using EHR-based triggers.</x:v>
      </x:c>
      <x:c r="P3" s="19" t="str">
        <x:v>Common diseases could be missed, including pneumonia, heart failure, renal failure, cancer, UTI/pyelonephritis.</x:v>
      </x:c>
      <x:c r="Q3" s="19" t="str"/>
      <x:c r="R3" s="19" t="str">
        <x:v>Return-visit flags, diagnostic checklist, and tracking for common high-harm misses.</x:v>
      </x:c>
      <x:c r="S3" s="19" t="str">
        <x:v>high</x:v>
      </x:c>
      <x:c r="T3" s="19" t="str">
        <x:v>02_extracted_evidence/evidence_items.csv</x:v>
      </x:c>
      <x:c r="U3" s="19" t="str">
        <x:v>research_evidence_package_clinician_side_diagnostic_pain_points_2026-05-30.tar.gz::02_extracted_evidence/evidence_items.csv::E002</x:v>
      </x:c>
    </x:row>
    <x:row r="4">
      <x:c r="A4" s="19" t="str">
        <x:v>D_clinician</x:v>
      </x:c>
      <x:c r="B4" s="19" t="str">
        <x:v>research_evidence_package_clinician_side_diagnostic_pain_points_2026-05-30.tar.gz</x:v>
      </x:c>
      <x:c r="C4" s="19" t="str">
        <x:v>Research D / clinician-side diagnostic pain points</x:v>
      </x:c>
      <x:c r="D4" s="19" t="str">
        <x:v>evidence_item</x:v>
      </x:c>
      <x:c r="E4" s="19" t="str">
        <x:v>E003</x:v>
      </x:c>
      <x:c r="F4" s="19" t="str">
        <x:v>S007</x:v>
      </x:c>
      <x:c r="G4" s="19" t="str">
        <x:v>Time Pressure During Primary Care Office Visits</x:v>
      </x:c>
      <x:c r="H4" s="19" t="str">
        <x:v>https://link.springer.com/article/10.1007/s11606-019-05343-6</x:v>
      </x:c>
      <x:c r="I4" s="19" t="str">
        <x:v>United States</x:v>
      </x:c>
      <x:c r="J4" s="19" t="str">
        <x:v>primary care</x:v>
      </x:c>
      <x:c r="K4" s="19" t="str">
        <x:v>medical history / first assessment / follow-up</x:v>
      </x:c>
      <x:c r="L4" s="19" t="str">
        <x:v>complex patients and limited English proficiency</x:v>
      </x:c>
      <x:c r="M4" s="19" t="str">
        <x:v>time pressure</x:v>
      </x:c>
      <x:c r="N4" s="19" t="str">
        <x:v>Clinicians often needed more time than allotted.</x:v>
      </x:c>
      <x:c r="O4" s="19" t="str">
        <x:v>Time pressure was especially high with complex psychosocial needs and limited English proficiency.</x:v>
      </x:c>
      <x:c r="P4" s="19" t="str">
        <x:v>Subtle red flags or context could be missed.</x:v>
      </x:c>
      <x:c r="Q4" s="19" t="str"/>
      <x:c r="R4" s="19" t="str">
        <x:v>Previsit narrative capture and interpreter/social-complexity preparation.</x:v>
      </x:c>
      <x:c r="S4" s="19" t="str">
        <x:v>high</x:v>
      </x:c>
      <x:c r="T4" s="19" t="str">
        <x:v>02_extracted_evidence/evidence_items.csv</x:v>
      </x:c>
      <x:c r="U4" s="19" t="str">
        <x:v>research_evidence_package_clinician_side_diagnostic_pain_points_2026-05-30.tar.gz::02_extracted_evidence/evidence_items.csv::E003</x:v>
      </x:c>
    </x:row>
    <x:row r="5">
      <x:c r="A5" s="19" t="str">
        <x:v>D_clinician</x:v>
      </x:c>
      <x:c r="B5" s="19" t="str">
        <x:v>research_evidence_package_clinician_side_diagnostic_pain_points_2026-05-30.tar.gz</x:v>
      </x:c>
      <x:c r="C5" s="19" t="str">
        <x:v>Research D / clinician-side diagnostic pain points</x:v>
      </x:c>
      <x:c r="D5" s="19" t="str">
        <x:v>evidence_item</x:v>
      </x:c>
      <x:c r="E5" s="19" t="str">
        <x:v>E004</x:v>
      </x:c>
      <x:c r="F5" s="19" t="str">
        <x:v>S008</x:v>
      </x:c>
      <x:c r="G5" s="19" t="str">
        <x:v>Diagnostic uncertainty in real-world primary care consultations</x:v>
      </x:c>
      <x:c r="H5" s="19" t="str">
        <x:v>https://link.springer.com/article/10.1186/s12875-024-02526-x</x:v>
      </x:c>
      <x:c r="I5" s="19" t="str">
        <x:v>United Kingdom</x:v>
      </x:c>
      <x:c r="J5" s="19" t="str">
        <x:v>general practice</x:v>
      </x:c>
      <x:c r="K5" s="19" t="str">
        <x:v>diagnosis discussion / safety-netting / follow-up</x:v>
      </x:c>
      <x:c r="L5" s="19" t="str">
        <x:v>new or persistent undiagnosed symptoms</x:v>
      </x:c>
      <x:c r="M5" s="19" t="str">
        <x:v>diagnostic uncertainty</x:v>
      </x:c>
      <x:c r="N5" s="19" t="str">
        <x:v>Safety-netting plans varied in specificity and responsibility.</x:v>
      </x:c>
      <x:c r="O5" s="19" t="str">
        <x:v>GPs used monitoring, treatment, and administrative risk strategies.</x:v>
      </x:c>
      <x:c r="P5" s="19" t="str">
        <x:v>Worsening symptoms may not be acted on without a clear plan.</x:v>
      </x:c>
      <x:c r="Q5" s="19" t="str"/>
      <x:c r="R5" s="19" t="str">
        <x:v>Safety-net plan with red flags, timescale, responsible clinician, and follow-up trigger.</x:v>
      </x:c>
      <x:c r="S5" s="19" t="str">
        <x:v>medium-high</x:v>
      </x:c>
      <x:c r="T5" s="19" t="str">
        <x:v>02_extracted_evidence/evidence_items.csv</x:v>
      </x:c>
      <x:c r="U5" s="19" t="str">
        <x:v>research_evidence_package_clinician_side_diagnostic_pain_points_2026-05-30.tar.gz::02_extracted_evidence/evidence_items.csv::E004</x:v>
      </x:c>
    </x:row>
    <x:row r="6">
      <x:c r="A6" s="19" t="str">
        <x:v>D_clinician</x:v>
      </x:c>
      <x:c r="B6" s="19" t="str">
        <x:v>research_evidence_package_clinician_side_diagnostic_pain_points_2026-05-30.tar.gz</x:v>
      </x:c>
      <x:c r="C6" s="19" t="str">
        <x:v>Research D / clinician-side diagnostic pain points</x:v>
      </x:c>
      <x:c r="D6" s="19" t="str">
        <x:v>evidence_item</x:v>
      </x:c>
      <x:c r="E6" s="19" t="str">
        <x:v>E005</x:v>
      </x:c>
      <x:c r="F6" s="19" t="str">
        <x:v>S009</x:v>
      </x:c>
      <x:c r="G6" s="19" t="str">
        <x:v>Continuity of care: delayed diagnosis in GP practices</x:v>
      </x:c>
      <x:c r="H6" s="19" t="str">
        <x:v>https://www.hssib.org.uk/patient-safety-investigations/continuity-of-care-delayed-diagnosis-in-gp-practices/</x:v>
      </x:c>
      <x:c r="I6" s="19" t="str">
        <x:v>England</x:v>
      </x:c>
      <x:c r="J6" s="19" t="str">
        <x:v>general practice / ED / oncology</x:v>
      </x:c>
      <x:c r="K6" s="19" t="str">
        <x:v>repeat visit / referral / emergency escalation</x:v>
      </x:c>
      <x:c r="L6" s="19" t="str">
        <x:v>severe back pain after prior breast cancer</x:v>
      </x:c>
      <x:c r="M6" s="19" t="str">
        <x:v>continuity failure</x:v>
      </x:c>
      <x:c r="N6" s="19" t="str">
        <x:v>Multiple contacts over eight months preceded diagnosis of spinal metastatic cancer.</x:v>
      </x:c>
      <x:c r="O6" s="19" t="str">
        <x:v>Back pain was treated and later investigated after spinal lump was found.</x:v>
      </x:c>
      <x:c r="P6" s="19" t="str">
        <x:v>Repeat unresolving symptom and prior cancer history were not connected early.</x:v>
      </x:c>
      <x:c r="Q6" s="19" t="str"/>
      <x:c r="R6" s="19" t="str">
        <x:v>Unresolved-symptom timeline and prior cancer/history surfacing.</x:v>
      </x:c>
      <x:c r="S6" s="19" t="str">
        <x:v>high</x:v>
      </x:c>
      <x:c r="T6" s="19" t="str">
        <x:v>02_extracted_evidence/evidence_items.csv</x:v>
      </x:c>
      <x:c r="U6" s="19" t="str">
        <x:v>research_evidence_package_clinician_side_diagnostic_pain_points_2026-05-30.tar.gz::02_extracted_evidence/evidence_items.csv::E005</x:v>
      </x:c>
    </x:row>
    <x:row r="7">
      <x:c r="A7" s="19" t="str">
        <x:v>D_clinician</x:v>
      </x:c>
      <x:c r="B7" s="19" t="str">
        <x:v>research_evidence_package_clinician_side_diagnostic_pain_points_2026-05-30.tar.gz</x:v>
      </x:c>
      <x:c r="C7" s="19" t="str">
        <x:v>Research D / clinician-side diagnostic pain points</x:v>
      </x:c>
      <x:c r="D7" s="19" t="str">
        <x:v>evidence_item</x:v>
      </x:c>
      <x:c r="E7" s="19" t="str">
        <x:v>E006</x:v>
      </x:c>
      <x:c r="F7" s="19" t="str">
        <x:v>S010</x:v>
      </x:c>
      <x:c r="G7" s="19" t="str">
        <x:v>Workforce and patient safety: online consultation tools in general practice</x:v>
      </x:c>
      <x:c r="H7" s="19" t="str">
        <x:v>https://www.hssib.org.uk/patient-safety-investigations/workforce-and-patient-safety/second-investigation-report/</x:v>
      </x:c>
      <x:c r="I7" s="19" t="str">
        <x:v>England</x:v>
      </x:c>
      <x:c r="J7" s="19" t="str">
        <x:v>general practice / online consultation</x:v>
      </x:c>
      <x:c r="K7" s="19" t="str">
        <x:v>before visit / online intake / triage</x:v>
      </x:c>
      <x:c r="L7" s="19" t="str">
        <x:v>worsening skin lesion with prior skin cancer</x:v>
      </x:c>
      <x:c r="M7" s="19" t="str">
        <x:v>digital intake risk</x:v>
      </x:c>
      <x:c r="N7" s="19" t="str">
        <x:v>A second online request lacked prior cancer history and was triaged as routine.</x:v>
      </x:c>
      <x:c r="O7" s="19" t="str">
        <x:v>Later GP review generated an urgent referral.</x:v>
      </x:c>
      <x:c r="P7" s="19" t="str">
        <x:v>Prior cancer history and deterioration were not joined in the online triage step.</x:v>
      </x:c>
      <x:c r="Q7" s="19" t="str"/>
      <x:c r="R7" s="19" t="str">
        <x:v>Online intake should auto-surface major history and related recent contacts.</x:v>
      </x:c>
      <x:c r="S7" s="19" t="str">
        <x:v>high</x:v>
      </x:c>
      <x:c r="T7" s="19" t="str">
        <x:v>02_extracted_evidence/evidence_items.csv</x:v>
      </x:c>
      <x:c r="U7" s="19" t="str">
        <x:v>research_evidence_package_clinician_side_diagnostic_pain_points_2026-05-30.tar.gz::02_extracted_evidence/evidence_items.csv::E006</x:v>
      </x:c>
    </x:row>
    <x:row r="8">
      <x:c r="A8" s="19" t="str">
        <x:v>D_clinician</x:v>
      </x:c>
      <x:c r="B8" s="19" t="str">
        <x:v>research_evidence_package_clinician_side_diagnostic_pain_points_2026-05-30.tar.gz</x:v>
      </x:c>
      <x:c r="C8" s="19" t="str">
        <x:v>Research D / clinician-side diagnostic pain points</x:v>
      </x:c>
      <x:c r="D8" s="19" t="str">
        <x:v>evidence_item</x:v>
      </x:c>
      <x:c r="E8" s="19" t="str">
        <x:v>E007</x:v>
      </x:c>
      <x:c r="F8" s="19" t="str">
        <x:v>S010</x:v>
      </x:c>
      <x:c r="G8" s="19" t="str">
        <x:v>Workforce and patient safety: online consultation tools in general practice</x:v>
      </x:c>
      <x:c r="H8" s="19" t="str">
        <x:v>https://www.hssib.org.uk/patient-safety-investigations/workforce-and-patient-safety/second-investigation-report/</x:v>
      </x:c>
      <x:c r="I8" s="19" t="str">
        <x:v>England</x:v>
      </x:c>
      <x:c r="J8" s="19" t="str">
        <x:v>general practice / telehealth</x:v>
      </x:c>
      <x:c r="K8" s="19" t="str">
        <x:v>intake form / triage</x:v>
      </x:c>
      <x:c r="L8" s="19" t="str">
        <x:v>complex or multi-symptom requests</x:v>
      </x:c>
      <x:c r="M8" s="19" t="str">
        <x:v>digital intake design</x:v>
      </x:c>
      <x:c r="N8" s="19" t="str">
        <x:v>Online forms can lose nuance when they force single-symptom routes or depend on free text.</x:v>
      </x:c>
      <x:c r="O8" s="19" t="str">
        <x:v>HSSIB described risks in both structured and free-text intake.</x:v>
      </x:c>
      <x:c r="P8" s="19" t="str">
        <x:v>Complexity and patient meaning may be missed.</x:v>
      </x:c>
      <x:c r="Q8" s="19" t="str"/>
      <x:c r="R8" s="19" t="str">
        <x:v>Hybrid intake: narrative, adaptive red flags, prior-history auto-pull, complexity escape hatch.</x:v>
      </x:c>
      <x:c r="S8" s="19" t="str">
        <x:v>high</x:v>
      </x:c>
      <x:c r="T8" s="19" t="str">
        <x:v>02_extracted_evidence/evidence_items.csv</x:v>
      </x:c>
      <x:c r="U8" s="19" t="str">
        <x:v>research_evidence_package_clinician_side_diagnostic_pain_points_2026-05-30.tar.gz::02_extracted_evidence/evidence_items.csv::E007</x:v>
      </x:c>
    </x:row>
    <x:row r="9">
      <x:c r="A9" s="19" t="str">
        <x:v>D_clinician</x:v>
      </x:c>
      <x:c r="B9" s="19" t="str">
        <x:v>research_evidence_package_clinician_side_diagnostic_pain_points_2026-05-30.tar.gz</x:v>
      </x:c>
      <x:c r="C9" s="19" t="str">
        <x:v>Research D / clinician-side diagnostic pain points</x:v>
      </x:c>
      <x:c r="D9" s="19" t="str">
        <x:v>evidence_item</x:v>
      </x:c>
      <x:c r="E9" s="19" t="str">
        <x:v>E008</x:v>
      </x:c>
      <x:c r="F9" s="19" t="str">
        <x:v>S012</x:v>
      </x:c>
      <x:c r="G9" s="19" t="str">
        <x:v>Diagnostic Errors in the Emergency Department: A Systematic Review</x:v>
      </x:c>
      <x:c r="H9" s="19" t="str">
        <x:v>https://www.ncbi.nlm.nih.gov/sites/books/NBK588118/</x:v>
      </x:c>
      <x:c r="I9" s="19" t="str">
        <x:v>Mostly United States</x:v>
      </x:c>
      <x:c r="J9" s="19" t="str">
        <x:v>emergency department</x:v>
      </x:c>
      <x:c r="K9" s="19" t="str">
        <x:v>triage / assessment / testing / discharge</x:v>
      </x:c>
      <x:c r="L9" s="19" t="str">
        <x:v>stroke, MI, aortic dissection, spinal cord compression, VTE, meningitis, sepsis, etc.</x:v>
      </x:c>
      <x:c r="M9" s="19" t="str">
        <x:v>ED diagnostic error</x:v>
      </x:c>
      <x:c r="N9" s="19" t="str">
        <x:v>Serious ED diagnostic harms concentrated in a set of high-risk conditions.</x:v>
      </x:c>
      <x:c r="O9" s="19" t="str">
        <x:v>A systematic review identified high-risk conditions and presentation patterns.</x:v>
      </x:c>
      <x:c r="P9" s="19" t="str">
        <x:v>High-risk disease behind common symptoms can be missed.</x:v>
      </x:c>
      <x:c r="Q9" s="19" t="str"/>
      <x:c r="R9" s="19" t="str">
        <x:v>High-risk diagnosis overlays by symptom, repeat visit, vitals, and risk factors.</x:v>
      </x:c>
      <x:c r="S9" s="19" t="str">
        <x:v>high</x:v>
      </x:c>
      <x:c r="T9" s="19" t="str">
        <x:v>02_extracted_evidence/evidence_items.csv</x:v>
      </x:c>
      <x:c r="U9" s="19" t="str">
        <x:v>research_evidence_package_clinician_side_diagnostic_pain_points_2026-05-30.tar.gz::02_extracted_evidence/evidence_items.csv::E008</x:v>
      </x:c>
    </x:row>
    <x:row r="10">
      <x:c r="A10" s="19" t="str">
        <x:v>D_clinician</x:v>
      </x:c>
      <x:c r="B10" s="19" t="str">
        <x:v>research_evidence_package_clinician_side_diagnostic_pain_points_2026-05-30.tar.gz</x:v>
      </x:c>
      <x:c r="C10" s="19" t="str">
        <x:v>Research D / clinician-side diagnostic pain points</x:v>
      </x:c>
      <x:c r="D10" s="19" t="str">
        <x:v>evidence_item</x:v>
      </x:c>
      <x:c r="E10" s="19" t="str">
        <x:v>E009</x:v>
      </x:c>
      <x:c r="F10" s="19" t="str">
        <x:v>S013</x:v>
      </x:c>
      <x:c r="G10" s="19" t="str">
        <x:v>AHRQ Report on Diagnostic Errors in the Emergency Department: The Wrong Answer to the Wrong Question</x:v>
      </x:c>
      <x:c r="H10" s="19" t="str">
        <x:v>https://psnet.ahrq.gov/issue/ahrq-report-diagnostic-errors-emergency-department-wrong-answer-wrong-question</x:v>
      </x:c>
      <x:c r="I10" s="19" t="str">
        <x:v>United States</x:v>
      </x:c>
      <x:c r="J10" s="19" t="str">
        <x:v>emergency department</x:v>
      </x:c>
      <x:c r="K10" s="19" t="str">
        <x:v>ED-wide workflow</x:v>
      </x:c>
      <x:c r="L10" s="19" t="str">
        <x:v>crowding and throughput pressure</x:v>
      </x:c>
      <x:c r="M10" s="19" t="str">
        <x:v>system overload</x:v>
      </x:c>
      <x:c r="N10" s="19" t="str">
        <x:v>Commentary argued ED misdiagnosis should be understood in the broader system of crowding and safety risk.</x:v>
      </x:c>
      <x:c r="O10" s="19" t="str">
        <x:v>AHRQ ED diagnostic-error framing was critiqued.</x:v>
      </x:c>
      <x:c r="P10" s="19" t="str">
        <x:v>Diagnostic attention and follow-up may degrade under crowding.</x:v>
      </x:c>
      <x:c r="Q10" s="19" t="str"/>
      <x:c r="R10" s="19" t="str">
        <x:v>Crowding-aware diagnostic review triggers and workload dashboards.</x:v>
      </x:c>
      <x:c r="S10" s="19" t="str">
        <x:v>medium</x:v>
      </x:c>
      <x:c r="T10" s="19" t="str">
        <x:v>02_extracted_evidence/evidence_items.csv</x:v>
      </x:c>
      <x:c r="U10" s="19" t="str">
        <x:v>research_evidence_package_clinician_side_diagnostic_pain_points_2026-05-30.tar.gz::02_extracted_evidence/evidence_items.csv::E009</x:v>
      </x:c>
    </x:row>
    <x:row r="11">
      <x:c r="A11" s="19" t="str">
        <x:v>D_clinician</x:v>
      </x:c>
      <x:c r="B11" s="19" t="str">
        <x:v>research_evidence_package_clinician_side_diagnostic_pain_points_2026-05-30.tar.gz</x:v>
      </x:c>
      <x:c r="C11" s="19" t="str">
        <x:v>Research D / clinician-side diagnostic pain points</x:v>
      </x:c>
      <x:c r="D11" s="19" t="str">
        <x:v>evidence_item</x:v>
      </x:c>
      <x:c r="E11" s="19" t="str">
        <x:v>E010</x:v>
      </x:c>
      <x:c r="F11" s="19" t="str">
        <x:v>S015</x:v>
      </x:c>
      <x:c r="G11" s="19" t="str">
        <x:v>Assessments Under Pressure: Interviews With Triage Nurses in Emergency Care</x:v>
      </x:c>
      <x:c r="H11" s="19" t="str">
        <x:v>https://research-portal.uea.ac.uk/en/publications/assessments-under-pressure-interviews-with-triage-nurses-in-emerg/</x:v>
      </x:c>
      <x:c r="I11" s="19" t="str">
        <x:v>United Kingdom</x:v>
      </x:c>
      <x:c r="J11" s="19" t="str">
        <x:v>ED triage</x:v>
      </x:c>
      <x:c r="K11" s="19" t="str">
        <x:v>arrival / nurse triage / acuity assignment</x:v>
      </x:c>
      <x:c r="L11" s="19" t="str">
        <x:v>urgency assessment</x:v>
      </x:c>
      <x:c r="M11" s="19" t="str">
        <x:v>triage overload</x:v>
      </x:c>
      <x:c r="N11" s="19" t="str">
        <x:v>Triage nurses reported pressure, cognitive strain, and emotional strain during acuity decisions.</x:v>
      </x:c>
      <x:c r="O11" s="19" t="str">
        <x:v>Interviews identified training, experience, culture, and strain as decision factors.</x:v>
      </x:c>
      <x:c r="P11" s="19" t="str">
        <x:v>High-risk patients may be under-triaged.</x:v>
      </x:c>
      <x:c r="Q11" s="19" t="str"/>
      <x:c r="R11" s="19" t="str">
        <x:v>Triage co-pilot with red flags, reassessment timers, and escalation support.</x:v>
      </x:c>
      <x:c r="S11" s="19" t="str">
        <x:v>medium</x:v>
      </x:c>
      <x:c r="T11" s="19" t="str">
        <x:v>02_extracted_evidence/evidence_items.csv</x:v>
      </x:c>
      <x:c r="U11" s="19" t="str">
        <x:v>research_evidence_package_clinician_side_diagnostic_pain_points_2026-05-30.tar.gz::02_extracted_evidence/evidence_items.csv::E010</x:v>
      </x:c>
    </x:row>
    <x:row r="12">
      <x:c r="A12" s="19" t="str">
        <x:v>D_clinician</x:v>
      </x:c>
      <x:c r="B12" s="19" t="str">
        <x:v>research_evidence_package_clinician_side_diagnostic_pain_points_2026-05-30.tar.gz</x:v>
      </x:c>
      <x:c r="C12" s="19" t="str">
        <x:v>Research D / clinician-side diagnostic pain points</x:v>
      </x:c>
      <x:c r="D12" s="19" t="str">
        <x:v>evidence_item</x:v>
      </x:c>
      <x:c r="E12" s="19" t="str">
        <x:v>E011</x:v>
      </x:c>
      <x:c r="F12" s="19" t="str">
        <x:v>S011</x:v>
      </x:c>
      <x:c r="G12" s="19" t="str">
        <x:v>The impact of staff fatigue on patient safety</x:v>
      </x:c>
      <x:c r="H12" s="19" t="str">
        <x:v>https://www.hssib.org.uk/patient-safety-investigations/the-impact-of-staff-fatigue-on-patient-safety/investigation-report/</x:v>
      </x:c>
      <x:c r="I12" s="19" t="str">
        <x:v>England</x:v>
      </x:c>
      <x:c r="J12" s="19" t="str">
        <x:v>acute NHS hospitals</x:v>
      </x:c>
      <x:c r="K12" s="19" t="str">
        <x:v>all stages / shifts / handoffs</x:v>
      </x:c>
      <x:c r="L12" s="19" t="str">
        <x:v>fatigue, concentration, empathy, medication safety</x:v>
      </x:c>
      <x:c r="M12" s="19" t="str">
        <x:v>fatigue and burnout</x:v>
      </x:c>
      <x:c r="N12" s="19" t="str">
        <x:v>Staff fatigue contributes directly and indirectly to patient harm but is not routinely captured.</x:v>
      </x:c>
      <x:c r="O12" s="19" t="str">
        <x:v>HSSIB gathered staff accounts and safety-system findings.</x:v>
      </x:c>
      <x:c r="P12" s="19" t="str">
        <x:v>Attentional lapses, communication problems, or task omissions can be missed.</x:v>
      </x:c>
      <x:c r="Q12" s="19" t="str"/>
      <x:c r="R12" s="19" t="str">
        <x:v>Fatigue-aware task routing and second-check triggers for high-risk diagnostic tasks.</x:v>
      </x:c>
      <x:c r="S12" s="19" t="str">
        <x:v>high</x:v>
      </x:c>
      <x:c r="T12" s="19" t="str">
        <x:v>02_extracted_evidence/evidence_items.csv</x:v>
      </x:c>
      <x:c r="U12" s="19" t="str">
        <x:v>research_evidence_package_clinician_side_diagnostic_pain_points_2026-05-30.tar.gz::02_extracted_evidence/evidence_items.csv::E011</x:v>
      </x:c>
    </x:row>
    <x:row r="13">
      <x:c r="A13" s="19" t="str">
        <x:v>D_clinician</x:v>
      </x:c>
      <x:c r="B13" s="19" t="str">
        <x:v>research_evidence_package_clinician_side_diagnostic_pain_points_2026-05-30.tar.gz</x:v>
      </x:c>
      <x:c r="C13" s="19" t="str">
        <x:v>Research D / clinician-side diagnostic pain points</x:v>
      </x:c>
      <x:c r="D13" s="19" t="str">
        <x:v>evidence_item</x:v>
      </x:c>
      <x:c r="E13" s="19" t="str">
        <x:v>E012</x:v>
      </x:c>
      <x:c r="F13" s="19" t="str">
        <x:v>S014</x:v>
      </x:c>
      <x:c r="G13" s="19" t="str">
        <x:v>It is the patient that suffers from poor communication: communication barriers during nurse handovers in Ghanaian hospitals</x:v>
      </x:c>
      <x:c r="H13" s="19" t="str">
        <x:v>https://www.sciencedirect.com/science/article/pii/S266732152400091X</x:v>
      </x:c>
      <x:c r="I13" s="19" t="str">
        <x:v>Ghana</x:v>
      </x:c>
      <x:c r="J13" s="19" t="str">
        <x:v>referral hospitals: ED, ICU, wards, maternity</x:v>
      </x:c>
      <x:c r="K13" s="19" t="str">
        <x:v>handover / inpatient monitoring</x:v>
      </x:c>
      <x:c r="L13" s="19" t="str">
        <x:v>diagnosis, medications, treatment plan</x:v>
      </x:c>
      <x:c r="M13" s="19" t="str">
        <x:v>handoff failure</x:v>
      </x:c>
      <x:c r="N13" s="19" t="str">
        <x:v>Poor handover communication was linked to documentation, training, procedure, and culture barriers.</x:v>
      </x:c>
      <x:c r="O13" s="19" t="str">
        <x:v>Qualitative interviews described communication barriers during handovers.</x:v>
      </x:c>
      <x:c r="P13" s="19" t="str">
        <x:v>Diagnosis, medications, treatment changes, and pending tasks may be missed.</x:v>
      </x:c>
      <x:c r="Q13" s="19" t="str"/>
      <x:c r="R13" s="19" t="str">
        <x:v>Standardized handoff object with diagnosis, uncertainty, pending tests, watch-outs, and next owner.</x:v>
      </x:c>
      <x:c r="S13" s="19" t="str">
        <x:v>medium</x:v>
      </x:c>
      <x:c r="T13" s="19" t="str">
        <x:v>02_extracted_evidence/evidence_items.csv</x:v>
      </x:c>
      <x:c r="U13" s="19" t="str">
        <x:v>research_evidence_package_clinician_side_diagnostic_pain_points_2026-05-30.tar.gz::02_extracted_evidence/evidence_items.csv::E012</x:v>
      </x:c>
    </x:row>
    <x:row r="14">
      <x:c r="A14" s="19" t="str">
        <x:v>D_clinician</x:v>
      </x:c>
      <x:c r="B14" s="19" t="str">
        <x:v>research_evidence_package_clinician_side_diagnostic_pain_points_2026-05-30.tar.gz</x:v>
      </x:c>
      <x:c r="C14" s="19" t="str">
        <x:v>Research D / clinician-side diagnostic pain points</x:v>
      </x:c>
      <x:c r="D14" s="19" t="str">
        <x:v>evidence_item</x:v>
      </x:c>
      <x:c r="E14" s="19" t="str">
        <x:v>E013</x:v>
      </x:c>
      <x:c r="F14" s="19" t="str">
        <x:v>S017</x:v>
      </x:c>
      <x:c r="G14" s="19" t="str">
        <x:v>Primary care-specialist communication gaps despite electronic health record diffusion</x:v>
      </x:c>
      <x:c r="H14" s="19" t="str">
        <x:v>https://pmc.ncbi.nlm.nih.gov/articles/PMC9328695/</x:v>
      </x:c>
      <x:c r="I14" s="19" t="str">
        <x:v>United States</x:v>
      </x:c>
      <x:c r="J14" s="19" t="str">
        <x:v>primary/specialty care</x:v>
      </x:c>
      <x:c r="K14" s="19" t="str">
        <x:v>referral / specialist review / feedback</x:v>
      </x:c>
      <x:c r="L14" s="19" t="str">
        <x:v>referral question and consult result</x:v>
      </x:c>
      <x:c r="M14" s="19" t="str">
        <x:v>specialist communication</x:v>
      </x:c>
      <x:c r="N14" s="19" t="str">
        <x:v>Communication gaps remained despite EHR diffusion.</x:v>
      </x:c>
      <x:c r="O14" s="19" t="str">
        <x:v>Survey identified persistent PCP-specialist communication gaps.</x:v>
      </x:c>
      <x:c r="P14" s="19" t="str">
        <x:v>Specialist feedback or PCP clinical question may not connect.</x:v>
      </x:c>
      <x:c r="Q14" s="19" t="str"/>
      <x:c r="R14" s="19" t="str">
        <x:v>Referral object with clinical question, urgency, attachments, consultant response, next owner.</x:v>
      </x:c>
      <x:c r="S14" s="19" t="str">
        <x:v>medium-high</x:v>
      </x:c>
      <x:c r="T14" s="19" t="str">
        <x:v>02_extracted_evidence/evidence_items.csv</x:v>
      </x:c>
      <x:c r="U14" s="19" t="str">
        <x:v>research_evidence_package_clinician_side_diagnostic_pain_points_2026-05-30.tar.gz::02_extracted_evidence/evidence_items.csv::E013</x:v>
      </x:c>
    </x:row>
    <x:row r="15">
      <x:c r="A15" s="19" t="str">
        <x:v>D_clinician</x:v>
      </x:c>
      <x:c r="B15" s="19" t="str">
        <x:v>research_evidence_package_clinician_side_diagnostic_pain_points_2026-05-30.tar.gz</x:v>
      </x:c>
      <x:c r="C15" s="19" t="str">
        <x:v>Research D / clinician-side diagnostic pain points</x:v>
      </x:c>
      <x:c r="D15" s="19" t="str">
        <x:v>evidence_item</x:v>
      </x:c>
      <x:c r="E15" s="19" t="str">
        <x:v>E014</x:v>
      </x:c>
      <x:c r="F15" s="19" t="str">
        <x:v>S016</x:v>
      </x:c>
      <x:c r="G15" s="19" t="str">
        <x:v>Closing the loop on diagnostic referrals</x:v>
      </x:c>
      <x:c r="H15" s="19" t="str">
        <x:v>https://bmjopenquality.bmj.com/content/10/4/e001603</x:v>
      </x:c>
      <x:c r="I15" s="19" t="str">
        <x:v>United States</x:v>
      </x:c>
      <x:c r="J15" s="19" t="str">
        <x:v>primary-specialty referrals</x:v>
      </x:c>
      <x:c r="K15" s="19" t="str">
        <x:v>referral / appointment completion / follow-up</x:v>
      </x:c>
      <x:c r="L15" s="19" t="str">
        <x:v>diagnostic referral completion</x:v>
      </x:c>
      <x:c r="M15" s="19" t="str">
        <x:v>referral loop failure</x:v>
      </x:c>
      <x:c r="N15" s="19" t="str">
        <x:v>Closed diagnostic referral loops remain a safety problem.</x:v>
      </x:c>
      <x:c r="O15" s="19" t="str">
        <x:v>Systems-engineering analysis described failures and redesign approaches.</x:v>
      </x:c>
      <x:c r="P15" s="19" t="str">
        <x:v>Specialist evaluation or test may be missed.</x:v>
      </x:c>
      <x:c r="Q15" s="19" t="str"/>
      <x:c r="R15" s="19" t="str">
        <x:v>Closed-loop referral tracker with due dates and exception handling.</x:v>
      </x:c>
      <x:c r="S15" s="19" t="str">
        <x:v>medium-high</x:v>
      </x:c>
      <x:c r="T15" s="19" t="str">
        <x:v>02_extracted_evidence/evidence_items.csv</x:v>
      </x:c>
      <x:c r="U15" s="19" t="str">
        <x:v>research_evidence_package_clinician_side_diagnostic_pain_points_2026-05-30.tar.gz::02_extracted_evidence/evidence_items.csv::E014</x:v>
      </x:c>
    </x:row>
    <x:row r="16">
      <x:c r="A16" s="19" t="str">
        <x:v>D_clinician</x:v>
      </x:c>
      <x:c r="B16" s="19" t="str">
        <x:v>research_evidence_package_clinician_side_diagnostic_pain_points_2026-05-30.tar.gz</x:v>
      </x:c>
      <x:c r="C16" s="19" t="str">
        <x:v>Research D / clinician-side diagnostic pain points</x:v>
      </x:c>
      <x:c r="D16" s="19" t="str">
        <x:v>evidence_item</x:v>
      </x:c>
      <x:c r="E16" s="19" t="str">
        <x:v>E015</x:v>
      </x:c>
      <x:c r="F16" s="19" t="str">
        <x:v>S018</x:v>
      </x:c>
      <x:c r="G16" s="19" t="str">
        <x:v>EHR usability and abnormal test-result management simulation</x:v>
      </x:c>
      <x:c r="H16" s="19" t="str">
        <x:v>https://pmc.ncbi.nlm.nih.gov/articles/PMC6450327/</x:v>
      </x:c>
      <x:c r="I16" s="19" t="str">
        <x:v>United States</x:v>
      </x:c>
      <x:c r="J16" s="19" t="str">
        <x:v>EHR test-result management</x:v>
      </x:c>
      <x:c r="K16" s="19" t="str">
        <x:v>abnormal result management</x:v>
      </x:c>
      <x:c r="L16" s="19" t="str">
        <x:v>abnormal test results</x:v>
      </x:c>
      <x:c r="M16" s="19" t="str">
        <x:v>EHR usability</x:v>
      </x:c>
      <x:c r="N16" s="19" t="str">
        <x:v>Enhanced usability and longitudinal tracking lowered cognitive workload and improved abnormal-result management.</x:v>
      </x:c>
      <x:c r="O16" s="19" t="str">
        <x:v>Simulation compared EHR designs.</x:v>
      </x:c>
      <x:c r="P16" s="19" t="str">
        <x:v>Abnormal results can be lost in poor interfaces.</x:v>
      </x:c>
      <x:c r="Q16" s="19" t="str"/>
      <x:c r="R16" s="19" t="str">
        <x:v>Longitudinal test-trend view and task-state tracking.</x:v>
      </x:c>
      <x:c r="S16" s="19" t="str">
        <x:v>medium-high</x:v>
      </x:c>
      <x:c r="T16" s="19" t="str">
        <x:v>02_extracted_evidence/evidence_items.csv</x:v>
      </x:c>
      <x:c r="U16" s="19" t="str">
        <x:v>research_evidence_package_clinician_side_diagnostic_pain_points_2026-05-30.tar.gz::02_extracted_evidence/evidence_items.csv::E015</x:v>
      </x:c>
    </x:row>
    <x:row r="17">
      <x:c r="A17" s="19" t="str">
        <x:v>D_clinician</x:v>
      </x:c>
      <x:c r="B17" s="19" t="str">
        <x:v>research_evidence_package_clinician_side_diagnostic_pain_points_2026-05-30.tar.gz</x:v>
      </x:c>
      <x:c r="C17" s="19" t="str">
        <x:v>Research D / clinician-side diagnostic pain points</x:v>
      </x:c>
      <x:c r="D17" s="19" t="str">
        <x:v>evidence_item</x:v>
      </x:c>
      <x:c r="E17" s="19" t="str">
        <x:v>E016</x:v>
      </x:c>
      <x:c r="F17" s="19" t="str">
        <x:v>S019</x:v>
      </x:c>
      <x:c r="G17" s="19" t="str">
        <x:v>Note bloat and EHR documentation burden</x:v>
      </x:c>
      <x:c r="H17" s="19" t="str">
        <x:v>https://pmc.ncbi.nlm.nih.gov/articles/PMC11852943/</x:v>
      </x:c>
      <x:c r="I17" s="19" t="str">
        <x:v>United States</x:v>
      </x:c>
      <x:c r="J17" s="19" t="str">
        <x:v>EHR documentation across settings</x:v>
      </x:c>
      <x:c r="K17" s="19" t="str">
        <x:v>history review / specialist review / handoff</x:v>
      </x:c>
      <x:c r="L17" s="19" t="str">
        <x:v>critical information in clinical notes</x:v>
      </x:c>
      <x:c r="M17" s="19" t="str">
        <x:v>note bloat</x:v>
      </x:c>
      <x:c r="N17" s="19" t="str">
        <x:v>Long and redundant notes can obscure important information.</x:v>
      </x:c>
      <x:c r="O17" s="19" t="str">
        <x:v>Review/commentary described note growth and redundancy.</x:v>
      </x:c>
      <x:c r="P17" s="19" t="str">
        <x:v>New facts, changed assessment, and unresolved problems may be hidden.</x:v>
      </x:c>
      <x:c r="Q17" s="19" t="str"/>
      <x:c r="R17" s="19" t="str">
        <x:v>Note-diff, copied-forward detection, concise problem timeline.</x:v>
      </x:c>
      <x:c r="S17" s="19" t="str">
        <x:v>medium</x:v>
      </x:c>
      <x:c r="T17" s="19" t="str">
        <x:v>02_extracted_evidence/evidence_items.csv</x:v>
      </x:c>
      <x:c r="U17" s="19" t="str">
        <x:v>research_evidence_package_clinician_side_diagnostic_pain_points_2026-05-30.tar.gz::02_extracted_evidence/evidence_items.csv::E016</x:v>
      </x:c>
    </x:row>
    <x:row r="18">
      <x:c r="A18" s="19" t="str">
        <x:v>D_clinician</x:v>
      </x:c>
      <x:c r="B18" s="19" t="str">
        <x:v>research_evidence_package_clinician_side_diagnostic_pain_points_2026-05-30.tar.gz</x:v>
      </x:c>
      <x:c r="C18" s="19" t="str">
        <x:v>Research D / clinician-side diagnostic pain points</x:v>
      </x:c>
      <x:c r="D18" s="19" t="str">
        <x:v>evidence_item</x:v>
      </x:c>
      <x:c r="E18" s="19" t="str">
        <x:v>E017</x:v>
      </x:c>
      <x:c r="F18" s="19" t="str">
        <x:v>S020</x:v>
      </x:c>
      <x:c r="G18" s="19" t="str">
        <x:v>The influence of difficult patient behaviour on physicians’ diagnostic performance</x:v>
      </x:c>
      <x:c r="H18" s="19" t="str">
        <x:v>https://qualitysafety.bmj.com/content/26/1/13</x:v>
      </x:c>
      <x:c r="I18" s="19" t="str">
        <x:v>Netherlands</x:v>
      </x:c>
      <x:c r="J18" s="19" t="str">
        <x:v>diagnostic reasoning experiments</x:v>
      </x:c>
      <x:c r="K18" s="19" t="str">
        <x:v>first assessment</x:v>
      </x:c>
      <x:c r="L18" s="19" t="str">
        <x:v>difficult patient behavior</x:v>
      </x:c>
      <x:c r="M18" s="19" t="str">
        <x:v>bias and labels</x:v>
      </x:c>
      <x:c r="N18" s="19" t="str">
        <x:v>Difficult patient behavior negatively affected diagnostic performance in experiments.</x:v>
      </x:c>
      <x:c r="O18" s="19" t="str">
        <x:v>Physicians reviewed vignettes with disruptive behaviors.</x:v>
      </x:c>
      <x:c r="P18" s="19" t="str">
        <x:v>Correct diagnosis behind behavior could be missed.</x:v>
      </x:c>
      <x:c r="Q18" s="19" t="str"/>
      <x:c r="R18" s="19" t="str">
        <x:v>Bias-aware diagnostic pause when stigmatizing labels or difficult interactions appear.</x:v>
      </x:c>
      <x:c r="S18" s="19" t="str">
        <x:v>medium</x:v>
      </x:c>
      <x:c r="T18" s="19" t="str">
        <x:v>02_extracted_evidence/evidence_items.csv</x:v>
      </x:c>
      <x:c r="U18" s="19" t="str">
        <x:v>research_evidence_package_clinician_side_diagnostic_pain_points_2026-05-30.tar.gz::02_extracted_evidence/evidence_items.csv::E017</x:v>
      </x:c>
    </x:row>
    <x:row r="19">
      <x:c r="A19" s="19" t="str">
        <x:v>D_clinician</x:v>
      </x:c>
      <x:c r="B19" s="19" t="str">
        <x:v>research_evidence_package_clinician_side_diagnostic_pain_points_2026-05-30.tar.gz</x:v>
      </x:c>
      <x:c r="C19" s="19" t="str">
        <x:v>Research D / clinician-side diagnostic pain points</x:v>
      </x:c>
      <x:c r="D19" s="19" t="str">
        <x:v>evidence_item</x:v>
      </x:c>
      <x:c r="E19" s="19" t="str">
        <x:v>E018</x:v>
      </x:c>
      <x:c r="F19" s="19" t="str">
        <x:v>S021</x:v>
      </x:c>
      <x:c r="G19" s="19" t="str">
        <x:v>Diagnostic overshadowing in emergency departments</x:v>
      </x:c>
      <x:c r="H19" s="19" t="str">
        <x:v>https://journals.plos.org/plosone/article?id=10.1371%2Fjournal.pone.0111682</x:v>
      </x:c>
      <x:c r="I19" s="19" t="str">
        <x:v>United Kingdom</x:v>
      </x:c>
      <x:c r="J19" s="19" t="str">
        <x:v>ED and psychiatric liaison</x:v>
      </x:c>
      <x:c r="K19" s="19" t="str">
        <x:v>ED assessment</x:v>
      </x:c>
      <x:c r="L19" s="19" t="str">
        <x:v>physical symptoms in patients with mental illness</x:v>
      </x:c>
      <x:c r="M19" s="19" t="str">
        <x:v>diagnostic overshadowing</x:v>
      </x:c>
      <x:c r="N19" s="19" t="str">
        <x:v>Physical symptoms may be misattributed to mental illness.</x:v>
      </x:c>
      <x:c r="O19" s="19" t="str">
        <x:v>Qualitative study explored diagnostic overshadowing and ED challenges.</x:v>
      </x:c>
      <x:c r="P19" s="19" t="str">
        <x:v>Physical illness can be missed when symptoms are attributed to psychiatric causes.</x:v>
      </x:c>
      <x:c r="Q19" s="19" t="str"/>
      <x:c r="R19" s="19" t="str">
        <x:v>Medical red-flag checklist for mental-health presentations and vitals/baseline trend display.</x:v>
      </x:c>
      <x:c r="S19" s="19" t="str">
        <x:v>medium</x:v>
      </x:c>
      <x:c r="T19" s="19" t="str">
        <x:v>02_extracted_evidence/evidence_items.csv</x:v>
      </x:c>
      <x:c r="U19" s="19" t="str">
        <x:v>research_evidence_package_clinician_side_diagnostic_pain_points_2026-05-30.tar.gz::02_extracted_evidence/evidence_items.csv::E018</x:v>
      </x:c>
    </x:row>
    <x:row r="20">
      <x:c r="A20" s="19" t="str">
        <x:v>D_clinician</x:v>
      </x:c>
      <x:c r="B20" s="19" t="str">
        <x:v>research_evidence_package_clinician_side_diagnostic_pain_points_2026-05-30.tar.gz</x:v>
      </x:c>
      <x:c r="C20" s="19" t="str">
        <x:v>Research D / clinician-side diagnostic pain points</x:v>
      </x:c>
      <x:c r="D20" s="19" t="str">
        <x:v>evidence_item</x:v>
      </x:c>
      <x:c r="E20" s="19" t="str">
        <x:v>E019</x:v>
      </x:c>
      <x:c r="F20" s="19" t="str">
        <x:v>S022</x:v>
      </x:c>
      <x:c r="G20" s="19" t="str">
        <x:v>Rural India community health workers and early cancer detection</x:v>
      </x:c>
      <x:c r="H20" s="19" t="str">
        <x:v>https://link.springer.com/article/10.1186/s12889-025-22735-y</x:v>
      </x:c>
      <x:c r="I20" s="19" t="str">
        <x:v>India</x:v>
      </x:c>
      <x:c r="J20" s="19" t="str">
        <x:v>rural / community health</x:v>
      </x:c>
      <x:c r="K20" s="19" t="str">
        <x:v>screening / referral / follow-up</x:v>
      </x:c>
      <x:c r="L20" s="19" t="str">
        <x:v>cervical, breast, oral cancer signs</x:v>
      </x:c>
      <x:c r="M20" s="19" t="str">
        <x:v>low-resource early detection</x:v>
      </x:c>
      <x:c r="N20" s="19" t="str">
        <x:v>CHWs reported barriers to early cancer detection and referral.</x:v>
      </x:c>
      <x:c r="O20" s="19" t="str">
        <x:v>Qualitative study identified training, infrastructure, referral, fear, finance, and sociocultural barriers.</x:v>
      </x:c>
      <x:c r="P20" s="19" t="str">
        <x:v>Early cancer signs and referral completion may be missed.</x:v>
      </x:c>
      <x:c r="Q20" s="19" t="str"/>
      <x:c r="R20" s="19" t="str">
        <x:v>CHW decision support, local-language education, referral navigation, follow-up queue.</x:v>
      </x:c>
      <x:c r="S20" s="19" t="str">
        <x:v>medium-high</x:v>
      </x:c>
      <x:c r="T20" s="19" t="str">
        <x:v>02_extracted_evidence/evidence_items.csv</x:v>
      </x:c>
      <x:c r="U20" s="19" t="str">
        <x:v>research_evidence_package_clinician_side_diagnostic_pain_points_2026-05-30.tar.gz::02_extracted_evidence/evidence_items.csv::E019</x:v>
      </x:c>
    </x:row>
    <x:row r="21">
      <x:c r="A21" s="19" t="str">
        <x:v>D_clinician</x:v>
      </x:c>
      <x:c r="B21" s="19" t="str">
        <x:v>research_evidence_package_clinician_side_diagnostic_pain_points_2026-05-30.tar.gz</x:v>
      </x:c>
      <x:c r="C21" s="19" t="str">
        <x:v>Research D / clinician-side diagnostic pain points</x:v>
      </x:c>
      <x:c r="D21" s="19" t="str">
        <x:v>evidence_item</x:v>
      </x:c>
      <x:c r="E21" s="19" t="str">
        <x:v>E020</x:v>
      </x:c>
      <x:c r="F21" s="19" t="str">
        <x:v>S023</x:v>
      </x:c>
      <x:c r="G21" s="19" t="str">
        <x:v>Lancet Commission on diagnostics / diagnostic access gap</x:v>
      </x:c>
      <x:c r="H21" s="19" t="str">
        <x:v>https://pmc.ncbi.nlm.nih.gov/articles/PMC8654090/</x:v>
      </x:c>
      <x:c r="I21" s="19" t="str">
        <x:v>Global / LMIC</x:v>
      </x:c>
      <x:c r="J21" s="19" t="str">
        <x:v>low-resource primary care</x:v>
      </x:c>
      <x:c r="K21" s="19" t="str">
        <x:v>labs ordered / imaging ordered / public screening</x:v>
      </x:c>
      <x:c r="L21" s="19" t="str">
        <x:v>basic diagnostics for common diseases</x:v>
      </x:c>
      <x:c r="M21" s="19" t="str">
        <x:v>diagnostic access</x:v>
      </x:c>
      <x:c r="N21" s="19" t="str">
        <x:v>Large global diagnostic-access gap limits confirmation and monitoring.</x:v>
      </x:c>
      <x:c r="O21" s="19" t="str">
        <x:v>Lancet Commission summary documented inadequate access to diagnostics.</x:v>
      </x:c>
      <x:c r="P21" s="19" t="str">
        <x:v>Conditions may remain unconfirmed or unmonitored.</x:v>
      </x:c>
      <x:c r="Q21" s="19" t="str"/>
      <x:c r="R21" s="19" t="str">
        <x:v>Resource-aware workflows, point-of-care test inventory, offline referral escalation.</x:v>
      </x:c>
      <x:c r="S21" s="19" t="str">
        <x:v>high</x:v>
      </x:c>
      <x:c r="T21" s="19" t="str">
        <x:v>02_extracted_evidence/evidence_items.csv</x:v>
      </x:c>
      <x:c r="U21" s="19" t="str">
        <x:v>research_evidence_package_clinician_side_diagnostic_pain_points_2026-05-30.tar.gz::02_extracted_evidence/evidence_items.csv::E020</x:v>
      </x:c>
    </x:row>
    <x:row r="22">
      <x:c r="A22" s="19" t="str">
        <x:v>D_clinician</x:v>
      </x:c>
      <x:c r="B22" s="19" t="str">
        <x:v>research_evidence_package_clinician_side_diagnostic_pain_points_2026-05-30.tar.gz</x:v>
      </x:c>
      <x:c r="C22" s="19" t="str">
        <x:v>Research D / clinician-side diagnostic pain points</x:v>
      </x:c>
      <x:c r="D22" s="19" t="str">
        <x:v>evidence_item</x:v>
      </x:c>
      <x:c r="E22" s="19" t="str">
        <x:v>E021</x:v>
      </x:c>
      <x:c r="F22" s="19" t="str">
        <x:v>S024</x:v>
      </x:c>
      <x:c r="G22" s="19" t="str">
        <x:v>KevinMD emergency diagnostic-error podcast / clinician commentary</x:v>
      </x:c>
      <x:c r="H22" s="19" t="str">
        <x:v>https://www.kevinmd.com/2025/04/how-to-reduce-diagnostic-error-in-the-emergency-department-podcast.html</x:v>
      </x:c>
      <x:c r="I22" s="19" t="str">
        <x:v>United States</x:v>
      </x:c>
      <x:c r="J22" s="19" t="str">
        <x:v>emergency department</x:v>
      </x:c>
      <x:c r="K22" s="19" t="str">
        <x:v>assessment / EHR review</x:v>
      </x:c>
      <x:c r="L22" s="19" t="str">
        <x:v>ED diagnostic context</x:v>
      </x:c>
      <x:c r="M22" s="19" t="str">
        <x:v>real workflow visibility</x:v>
      </x:c>
      <x:c r="N22" s="19" t="str">
        <x:v>Clinician commentary emphasized observing the actual clinician screen and workflow.</x:v>
      </x:c>
      <x:c r="O22" s="19" t="str">
        <x:v>Podcast/blog commentary discussed diagnostic-error reduction in ED.</x:v>
      </x:c>
      <x:c r="P22" s="19" t="str">
        <x:v>Prior history, pending tests, and red flags may be scattered.</x:v>
      </x:c>
      <x:c r="Q22" s="19" t="str"/>
      <x:c r="R22" s="19" t="str">
        <x:v>Field observation and screen-level workflow mapping before designing tools.</x:v>
      </x:c>
      <x:c r="S22" s="19" t="str">
        <x:v>low-medium</x:v>
      </x:c>
      <x:c r="T22" s="19" t="str">
        <x:v>02_extracted_evidence/evidence_items.csv</x:v>
      </x:c>
      <x:c r="U22" s="19" t="str">
        <x:v>research_evidence_package_clinician_side_diagnostic_pain_points_2026-05-30.tar.gz::02_extracted_evidence/evidence_items.csv::E021</x:v>
      </x:c>
    </x:row>
    <x:row r="23">
      <x:c r="A23" s="19" t="str">
        <x:v>D_clinician</x:v>
      </x:c>
      <x:c r="B23" s="19" t="str">
        <x:v>research_evidence_package_clinician_side_diagnostic_pain_points_2026-05-30.tar.gz</x:v>
      </x:c>
      <x:c r="C23" s="19" t="str">
        <x:v>Research D / clinician-side diagnostic pain points</x:v>
      </x:c>
      <x:c r="D23" s="19" t="str">
        <x:v>case</x:v>
      </x:c>
      <x:c r="E23" s="19" t="str">
        <x:v>C001</x:v>
      </x:c>
      <x:c r="F23" s="19" t="str">
        <x:v>S009</x:v>
      </x:c>
      <x:c r="G23" s="19" t="str">
        <x:v>Continuity of care: delayed diagnosis in GP practices</x:v>
      </x:c>
      <x:c r="H23" s="19" t="str">
        <x:v>https://www.hssib.org.uk/patient-safety-investigations/continuity-of-care-delayed-diagnosis-in-gp-practices/</x:v>
      </x:c>
      <x:c r="I23" s="19" t="str">
        <x:v>England</x:v>
      </x:c>
      <x:c r="J23" s="19" t="str">
        <x:v>general practice / ED / oncology</x:v>
      </x:c>
      <x:c r="K23" s="19" t="str">
        <x:v>continuity failure</x:v>
      </x:c>
      <x:c r="L23" s="19" t="str">
        <x:v>severe back pain after prior breast cancer</x:v>
      </x:c>
      <x:c r="M23" s="19" t="str">
        <x:v>continuity failure</x:v>
      </x:c>
      <x:c r="N23" s="19" t="str">
        <x:v>Brian delayed spinal metastatic cancer diagnosis</x:v>
      </x:c>
      <x:c r="O23" s="19" t="str">
        <x:v>Multiple contacts across ED, GPs, out-of-hours GPs, nurse, and physiotherapy preceded later diagnosis.</x:v>
      </x:c>
      <x:c r="P23" s="19" t="str">
        <x:v>Prior cancer history plus repeated unresolving back pain were not connected early.</x:v>
      </x:c>
      <x:c r="Q23" s="19" t="str">
        <x:v>8 months</x:v>
      </x:c>
      <x:c r="R23" s="19" t="str">
        <x:v>Unresolved-symptom timeline and prior high-risk history surfacing.</x:v>
      </x:c>
      <x:c r="S23" s="19" t="str">
        <x:v>high</x:v>
      </x:c>
      <x:c r="T23" s="19" t="str">
        <x:v>02_extracted_evidence/cases_or_examples.csv</x:v>
      </x:c>
      <x:c r="U23" s="19" t="str">
        <x:v>research_evidence_package_clinician_side_diagnostic_pain_points_2026-05-30.tar.gz::02_extracted_evidence/cases_or_examples.csv::C001</x:v>
      </x:c>
    </x:row>
    <x:row r="24">
      <x:c r="A24" s="19" t="str">
        <x:v>D_clinician</x:v>
      </x:c>
      <x:c r="B24" s="19" t="str">
        <x:v>research_evidence_package_clinician_side_diagnostic_pain_points_2026-05-30.tar.gz</x:v>
      </x:c>
      <x:c r="C24" s="19" t="str">
        <x:v>Research D / clinician-side diagnostic pain points</x:v>
      </x:c>
      <x:c r="D24" s="19" t="str">
        <x:v>case</x:v>
      </x:c>
      <x:c r="E24" s="19" t="str">
        <x:v>C002</x:v>
      </x:c>
      <x:c r="F24" s="19" t="str">
        <x:v>S010</x:v>
      </x:c>
      <x:c r="G24" s="19" t="str">
        <x:v>Workforce and patient safety: online consultation tools in general practice</x:v>
      </x:c>
      <x:c r="H24" s="19" t="str">
        <x:v>https://www.hssib.org.uk/patient-safety-investigations/workforce-and-patient-safety/second-investigation-report/</x:v>
      </x:c>
      <x:c r="I24" s="19" t="str">
        <x:v>England</x:v>
      </x:c>
      <x:c r="J24" s="19" t="str">
        <x:v>general practice / online consultation</x:v>
      </x:c>
      <x:c r="K24" s="19" t="str">
        <x:v>digital intake risk</x:v>
      </x:c>
      <x:c r="L24" s="19" t="str">
        <x:v>worsening skin lesion with prior skin cancer</x:v>
      </x:c>
      <x:c r="M24" s="19" t="str">
        <x:v>digital intake risk</x:v>
      </x:c>
      <x:c r="N24" s="19" t="str">
        <x:v>Delayed urgent recognition in online skin-lesion consultation</x:v>
      </x:c>
      <x:c r="O24" s="19" t="str">
        <x:v>A second online request lacked prior cancer history and was triaged routine; later GP review generated urgent referral.</x:v>
      </x:c>
      <x:c r="P24" s="19" t="str">
        <x:v>Worsening skin signs and prior skin cancer history were not joined at intake/triage.</x:v>
      </x:c>
      <x:c r="Q24" s="19" t="str">
        <x:v>2 weeks to GP suspicion after second form, plus referral wait</x:v>
      </x:c>
      <x:c r="R24" s="19" t="str">
        <x:v>Hybrid intake with prior-history auto-pull and adaptive red flags.</x:v>
      </x:c>
      <x:c r="S24" s="19" t="str">
        <x:v>high</x:v>
      </x:c>
      <x:c r="T24" s="19" t="str">
        <x:v>02_extracted_evidence/cases_or_examples.csv</x:v>
      </x:c>
      <x:c r="U24" s="19" t="str">
        <x:v>research_evidence_package_clinician_side_diagnostic_pain_points_2026-05-30.tar.gz::02_extracted_evidence/cases_or_examples.csv::C002</x:v>
      </x:c>
    </x:row>
    <x:row r="25">
      <x:c r="A25" s="19" t="str">
        <x:v>D_clinician</x:v>
      </x:c>
      <x:c r="B25" s="19" t="str">
        <x:v>research_evidence_package_clinician_side_diagnostic_pain_points_2026-05-30.tar.gz</x:v>
      </x:c>
      <x:c r="C25" s="19" t="str">
        <x:v>Research D / clinician-side diagnostic pain points</x:v>
      </x:c>
      <x:c r="D25" s="19" t="str">
        <x:v>case</x:v>
      </x:c>
      <x:c r="E25" s="19" t="str">
        <x:v>C003</x:v>
      </x:c>
      <x:c r="F25" s="19" t="str">
        <x:v>S006</x:v>
      </x:c>
      <x:c r="G25" s="19" t="str">
        <x:v>Types and Origins of Diagnostic Errors in Primary Care Settings</x:v>
      </x:c>
      <x:c r="H25" s="19" t="str">
        <x:v>https://jamanetwork.com/journals/jamainternalmedicine/fullarticle/1656540</x:v>
      </x:c>
      <x:c r="I25" s="19" t="str">
        <x:v>United States</x:v>
      </x:c>
      <x:c r="J25" s="19" t="str">
        <x:v>primary care</x:v>
      </x:c>
      <x:c r="K25" s="19" t="str">
        <x:v>diagnostic process breakdown</x:v>
      </x:c>
      <x:c r="L25" s="19" t="str">
        <x:v>common diseases including pneumonia, CHF, renal failure, cancer, UTI/pyelonephritis</x:v>
      </x:c>
      <x:c r="M25" s="19" t="str">
        <x:v>diagnostic process breakdown</x:v>
      </x:c>
      <x:c r="N25" s="19" t="str">
        <x:v>Primary-care diagnostic-error trigger cases</x:v>
      </x:c>
      <x:c r="O25" s="19" t="str">
        <x:v>Researchers used EHR triggers to identify and review diagnostic-error cases.</x:v>
      </x:c>
      <x:c r="P25" s="19" t="str">
        <x:v>Breakdowns occurred in history, exam, workup, referral, and tracking.</x:v>
      </x:c>
      <x:c r="Q25" s="19" t="str">
        <x:v>Trigger examples included hospitalization/return/ED within 14 days</x:v>
      </x:c>
      <x:c r="R25" s="19" t="str">
        <x:v>Return-visit flags and diagnostic-process tracking.</x:v>
      </x:c>
      <x:c r="S25" s="19" t="str">
        <x:v>high</x:v>
      </x:c>
      <x:c r="T25" s="19" t="str">
        <x:v>02_extracted_evidence/cases_or_examples.csv</x:v>
      </x:c>
      <x:c r="U25" s="19" t="str">
        <x:v>research_evidence_package_clinician_side_diagnostic_pain_points_2026-05-30.tar.gz::02_extracted_evidence/cases_or_examples.csv::C003</x:v>
      </x:c>
    </x:row>
    <x:row r="26">
      <x:c r="A26" s="19" t="str">
        <x:v>D_clinician</x:v>
      </x:c>
      <x:c r="B26" s="19" t="str">
        <x:v>research_evidence_package_clinician_side_diagnostic_pain_points_2026-05-30.tar.gz</x:v>
      </x:c>
      <x:c r="C26" s="19" t="str">
        <x:v>Research D / clinician-side diagnostic pain points</x:v>
      </x:c>
      <x:c r="D26" s="19" t="str">
        <x:v>case</x:v>
      </x:c>
      <x:c r="E26" s="19" t="str">
        <x:v>C004</x:v>
      </x:c>
      <x:c r="F26" s="19" t="str">
        <x:v>S014</x:v>
      </x:c>
      <x:c r="G26" s="19" t="str">
        <x:v>It is the patient that suffers from poor communication: communication barriers during nurse handovers in Ghanaian hospitals</x:v>
      </x:c>
      <x:c r="H26" s="19" t="str">
        <x:v>https://www.sciencedirect.com/science/article/pii/S266732152400091X</x:v>
      </x:c>
      <x:c r="I26" s="19" t="str">
        <x:v>Ghana</x:v>
      </x:c>
      <x:c r="J26" s="19" t="str">
        <x:v>referral hospitals: ED, ICU, wards, maternity</x:v>
      </x:c>
      <x:c r="K26" s="19" t="str">
        <x:v>handoff failure</x:v>
      </x:c>
      <x:c r="L26" s="19" t="str">
        <x:v>diagnosis, medication, treatment-plan continuity</x:v>
      </x:c>
      <x:c r="M26" s="19" t="str">
        <x:v>handoff failure</x:v>
      </x:c>
      <x:c r="N26" s="19" t="str">
        <x:v>Nurse handover communication barriers in Ghanaian referral hospitals</x:v>
      </x:c>
      <x:c r="O26" s="19" t="str">
        <x:v>Interviews found poor documentation, lack of formal procedures, and communication barriers.</x:v>
      </x:c>
      <x:c r="P26" s="19" t="str">
        <x:v>Diagnosis, treatment plans, medication changes, and pending tasks may be missed.</x:v>
      </x:c>
      <x:c r="Q26" s="19" t="str">
        <x:v>unknown</x:v>
      </x:c>
      <x:c r="R26" s="19" t="str">
        <x:v>Structured handoff including uncertainty, pending tests, and next owner.</x:v>
      </x:c>
      <x:c r="S26" s="19" t="str">
        <x:v>medium</x:v>
      </x:c>
      <x:c r="T26" s="19" t="str">
        <x:v>02_extracted_evidence/cases_or_examples.csv</x:v>
      </x:c>
      <x:c r="U26" s="19" t="str">
        <x:v>research_evidence_package_clinician_side_diagnostic_pain_points_2026-05-30.tar.gz::02_extracted_evidence/cases_or_examples.csv::C004</x:v>
      </x:c>
    </x:row>
    <x:row r="27">
      <x:c r="A27" s="19" t="str">
        <x:v>D_clinician</x:v>
      </x:c>
      <x:c r="B27" s="19" t="str">
        <x:v>research_evidence_package_clinician_side_diagnostic_pain_points_2026-05-30.tar.gz</x:v>
      </x:c>
      <x:c r="C27" s="19" t="str">
        <x:v>Research D / clinician-side diagnostic pain points</x:v>
      </x:c>
      <x:c r="D27" s="19" t="str">
        <x:v>quote</x:v>
      </x:c>
      <x:c r="E27" s="19" t="str">
        <x:v>Q001</x:v>
      </x:c>
      <x:c r="F27" s="19" t="str">
        <x:v>S002</x:v>
      </x:c>
      <x:c r="G27" s="19" t="str">
        <x:v>Improving Diagnosis in Health Care</x:v>
      </x:c>
      <x:c r="H27" s="19" t="str">
        <x:v>https://www.nationalacademies.org/read/21794/chapter/1</x:v>
      </x:c>
      <x:c r="I27" s="19" t="str">
        <x:v>United States</x:v>
      </x:c>
      <x:c r="J27" s="19" t="str">
        <x:v>all settings</x:v>
      </x:c>
      <x:c r="K27" s="19" t="str">
        <x:v>diagnostic process</x:v>
      </x:c>
      <x:c r="L27" s="19" t="str"/>
      <x:c r="M27" s="19" t="str">
        <x:v>diagnostic process</x:v>
      </x:c>
      <x:c r="N27" s="19" t="str">
        <x:v>Diagnosis is a collaborative effort.</x:v>
      </x:c>
      <x:c r="O27" s="19" t="str">
        <x:v>Supports tools that connect clinicians, patients, labs, radiology, and follow-up owners.</x:v>
      </x:c>
      <x:c r="P27" s="19" t="str"/>
      <x:c r="Q27" s="19" t="str"/>
      <x:c r="R27" s="19" t="str"/>
      <x:c r="S27" s="19" t="str">
        <x:v>high</x:v>
      </x:c>
      <x:c r="T27" s="19" t="str">
        <x:v>02_extracted_evidence/quotes.csv</x:v>
      </x:c>
      <x:c r="U27" s="19" t="str">
        <x:v>research_evidence_package_clinician_side_diagnostic_pain_points_2026-05-30.tar.gz::02_extracted_evidence/quotes.csv::Q001</x:v>
      </x:c>
    </x:row>
    <x:row r="28">
      <x:c r="A28" s="19" t="str">
        <x:v>D_clinician</x:v>
      </x:c>
      <x:c r="B28" s="19" t="str">
        <x:v>research_evidence_package_clinician_side_diagnostic_pain_points_2026-05-30.tar.gz</x:v>
      </x:c>
      <x:c r="C28" s="19" t="str">
        <x:v>Research D / clinician-side diagnostic pain points</x:v>
      </x:c>
      <x:c r="D28" s="19" t="str">
        <x:v>quote</x:v>
      </x:c>
      <x:c r="E28" s="19" t="str">
        <x:v>Q002</x:v>
      </x:c>
      <x:c r="F28" s="19" t="str">
        <x:v>S002</x:v>
      </x:c>
      <x:c r="G28" s="19" t="str">
        <x:v>Improving Diagnosis in Health Care</x:v>
      </x:c>
      <x:c r="H28" s="19" t="str">
        <x:v>https://www.nationalacademies.org/read/21794/chapter/1</x:v>
      </x:c>
      <x:c r="I28" s="19" t="str">
        <x:v>United States</x:v>
      </x:c>
      <x:c r="J28" s="19" t="str">
        <x:v>EHR-mediated care</x:v>
      </x:c>
      <x:c r="K28" s="19" t="str">
        <x:v>health IT</x:v>
      </x:c>
      <x:c r="L28" s="19" t="str"/>
      <x:c r="M28" s="19" t="str">
        <x:v>health IT</x:v>
      </x:c>
      <x:c r="N28" s="19" t="str">
        <x:v>Health information technology…is often a barrier.</x:v>
      </x:c>
      <x:c r="O28" s="19" t="str">
        <x:v>Supports designing tools that reduce cognitive load rather than add new screens.</x:v>
      </x:c>
      <x:c r="P28" s="19" t="str"/>
      <x:c r="Q28" s="19" t="str"/>
      <x:c r="R28" s="19" t="str"/>
      <x:c r="S28" s="19" t="str">
        <x:v>high</x:v>
      </x:c>
      <x:c r="T28" s="19" t="str">
        <x:v>02_extracted_evidence/quotes.csv</x:v>
      </x:c>
      <x:c r="U28" s="19" t="str">
        <x:v>research_evidence_package_clinician_side_diagnostic_pain_points_2026-05-30.tar.gz::02_extracted_evidence/quotes.csv::Q002</x:v>
      </x:c>
    </x:row>
    <x:row r="29">
      <x:c r="A29" s="19" t="str">
        <x:v>D_clinician</x:v>
      </x:c>
      <x:c r="B29" s="19" t="str">
        <x:v>research_evidence_package_clinician_side_diagnostic_pain_points_2026-05-30.tar.gz</x:v>
      </x:c>
      <x:c r="C29" s="19" t="str">
        <x:v>Research D / clinician-side diagnostic pain points</x:v>
      </x:c>
      <x:c r="D29" s="19" t="str">
        <x:v>quote</x:v>
      </x:c>
      <x:c r="E29" s="19" t="str">
        <x:v>Q003</x:v>
      </x:c>
      <x:c r="F29" s="19" t="str">
        <x:v>S005</x:v>
      </x:c>
      <x:c r="G29" s="19" t="str">
        <x:v>Information Overload and Missed Test Results in Electronic Health Record-Based Settings</x:v>
      </x:c>
      <x:c r="H29" s="19" t="str">
        <x:v>https://jamanetwork.com/journals/jamainternalmedicine/fullarticle/1657753</x:v>
      </x:c>
      <x:c r="I29" s="19" t="str">
        <x:v>United States</x:v>
      </x:c>
      <x:c r="J29" s="19" t="str">
        <x:v>VA primary care</x:v>
      </x:c>
      <x:c r="K29" s="19" t="str">
        <x:v>alert fatigue</x:v>
      </x:c>
      <x:c r="L29" s="19" t="str"/>
      <x:c r="M29" s="19" t="str">
        <x:v>alert fatigue</x:v>
      </x:c>
      <x:c r="N29" s="19" t="str">
        <x:v>More alerts than they could effectively manage.</x:v>
      </x:c>
      <x:c r="O29" s="19" t="str">
        <x:v>Shows that alert streams can become a diagnostic black zone.</x:v>
      </x:c>
      <x:c r="P29" s="19" t="str"/>
      <x:c r="Q29" s="19" t="str"/>
      <x:c r="R29" s="19" t="str"/>
      <x:c r="S29" s="19" t="str">
        <x:v>high</x:v>
      </x:c>
      <x:c r="T29" s="19" t="str">
        <x:v>02_extracted_evidence/quotes.csv</x:v>
      </x:c>
      <x:c r="U29" s="19" t="str">
        <x:v>research_evidence_package_clinician_side_diagnostic_pain_points_2026-05-30.tar.gz::02_extracted_evidence/quotes.csv::Q003</x:v>
      </x:c>
    </x:row>
    <x:row r="30">
      <x:c r="A30" s="19" t="str">
        <x:v>D_clinician</x:v>
      </x:c>
      <x:c r="B30" s="19" t="str">
        <x:v>research_evidence_package_clinician_side_diagnostic_pain_points_2026-05-30.tar.gz</x:v>
      </x:c>
      <x:c r="C30" s="19" t="str">
        <x:v>Research D / clinician-side diagnostic pain points</x:v>
      </x:c>
      <x:c r="D30" s="19" t="str">
        <x:v>quote</x:v>
      </x:c>
      <x:c r="E30" s="19" t="str">
        <x:v>Q004</x:v>
      </x:c>
      <x:c r="F30" s="19" t="str">
        <x:v>S008</x:v>
      </x:c>
      <x:c r="G30" s="19" t="str">
        <x:v>Diagnostic uncertainty in real-world primary care consultations</x:v>
      </x:c>
      <x:c r="H30" s="19" t="str">
        <x:v>https://link.springer.com/article/10.1186/s12875-024-02526-x</x:v>
      </x:c>
      <x:c r="I30" s="19" t="str">
        <x:v>United States</x:v>
      </x:c>
      <x:c r="J30" s="19" t="str">
        <x:v>primary care</x:v>
      </x:c>
      <x:c r="K30" s="19" t="str">
        <x:v>time pressure</x:v>
      </x:c>
      <x:c r="L30" s="19" t="str"/>
      <x:c r="M30" s="19" t="str">
        <x:v>time pressure</x:v>
      </x:c>
      <x:c r="N30" s="19" t="str">
        <x:v>Good care is slow enough to be able to pay attention.</x:v>
      </x:c>
      <x:c r="O30" s="19" t="str">
        <x:v>Highlights conflict between speed and careful diagnosis.</x:v>
      </x:c>
      <x:c r="P30" s="19" t="str"/>
      <x:c r="Q30" s="19" t="str"/>
      <x:c r="R30" s="19" t="str"/>
      <x:c r="S30" s="19" t="str">
        <x:v>medium-high</x:v>
      </x:c>
      <x:c r="T30" s="19" t="str">
        <x:v>02_extracted_evidence/quotes.csv</x:v>
      </x:c>
      <x:c r="U30" s="19" t="str">
        <x:v>research_evidence_package_clinician_side_diagnostic_pain_points_2026-05-30.tar.gz::02_extracted_evidence/quotes.csv::Q004</x:v>
      </x:c>
    </x:row>
    <x:row r="31">
      <x:c r="A31" s="19" t="str">
        <x:v>D_clinician</x:v>
      </x:c>
      <x:c r="B31" s="19" t="str">
        <x:v>research_evidence_package_clinician_side_diagnostic_pain_points_2026-05-30.tar.gz</x:v>
      </x:c>
      <x:c r="C31" s="19" t="str">
        <x:v>Research D / clinician-side diagnostic pain points</x:v>
      </x:c>
      <x:c r="D31" s="19" t="str">
        <x:v>quote</x:v>
      </x:c>
      <x:c r="E31" s="19" t="str">
        <x:v>Q005</x:v>
      </x:c>
      <x:c r="F31" s="19" t="str">
        <x:v>S010</x:v>
      </x:c>
      <x:c r="G31" s="19" t="str">
        <x:v>Workforce and patient safety: online consultation tools in general practice</x:v>
      </x:c>
      <x:c r="H31" s="19" t="str">
        <x:v>https://www.hssib.org.uk/patient-safety-investigations/workforce-and-patient-safety/second-investigation-report/</x:v>
      </x:c>
      <x:c r="I31" s="19" t="str">
        <x:v>England</x:v>
      </x:c>
      <x:c r="J31" s="19" t="str">
        <x:v>online GP intake</x:v>
      </x:c>
      <x:c r="K31" s="19" t="str">
        <x:v>digital intake</x:v>
      </x:c>
      <x:c r="L31" s="19" t="str"/>
      <x:c r="M31" s="19" t="str">
        <x:v>digital intake</x:v>
      </x:c>
      <x:c r="N31" s="19" t="str">
        <x:v>Algorithms that go down single symptom routes miss the complexity of general practice and mean the dots can’t be joined up.</x:v>
      </x:c>
      <x:c r="O31" s="19" t="str">
        <x:v>Shows danger of over-structured digital triage for complex stories.</x:v>
      </x:c>
      <x:c r="P31" s="19" t="str"/>
      <x:c r="Q31" s="19" t="str"/>
      <x:c r="R31" s="19" t="str"/>
      <x:c r="S31" s="19" t="str">
        <x:v>high</x:v>
      </x:c>
      <x:c r="T31" s="19" t="str">
        <x:v>02_extracted_evidence/quotes.csv</x:v>
      </x:c>
      <x:c r="U31" s="19" t="str">
        <x:v>research_evidence_package_clinician_side_diagnostic_pain_points_2026-05-30.tar.gz::02_extracted_evidence/quotes.csv::Q005</x:v>
      </x:c>
    </x:row>
    <x:row r="32">
      <x:c r="A32" s="19" t="str">
        <x:v>D_clinician</x:v>
      </x:c>
      <x:c r="B32" s="19" t="str">
        <x:v>research_evidence_package_clinician_side_diagnostic_pain_points_2026-05-30.tar.gz</x:v>
      </x:c>
      <x:c r="C32" s="19" t="str">
        <x:v>Research D / clinician-side diagnostic pain points</x:v>
      </x:c>
      <x:c r="D32" s="19" t="str">
        <x:v>quote</x:v>
      </x:c>
      <x:c r="E32" s="19" t="str">
        <x:v>Q006</x:v>
      </x:c>
      <x:c r="F32" s="19" t="str">
        <x:v>S010</x:v>
      </x:c>
      <x:c r="G32" s="19" t="str">
        <x:v>Workforce and patient safety: online consultation tools in general practice</x:v>
      </x:c>
      <x:c r="H32" s="19" t="str">
        <x:v>https://www.hssib.org.uk/patient-safety-investigations/workforce-and-patient-safety/second-investigation-report/</x:v>
      </x:c>
      <x:c r="I32" s="19" t="str">
        <x:v>England</x:v>
      </x:c>
      <x:c r="J32" s="19" t="str">
        <x:v>online GP consultation</x:v>
      </x:c>
      <x:c r="K32" s="19" t="str">
        <x:v>triage safety</x:v>
      </x:c>
      <x:c r="L32" s="19" t="str"/>
      <x:c r="M32" s="19" t="str">
        <x:v>triage safety</x:v>
      </x:c>
      <x:c r="N32" s="19" t="str">
        <x:v>Err on the side of caution.</x:v>
      </x:c>
      <x:c r="O32" s="19" t="str">
        <x:v>Shows safety may depend on clinician caution instead of tool design.</x:v>
      </x:c>
      <x:c r="P32" s="19" t="str"/>
      <x:c r="Q32" s="19" t="str"/>
      <x:c r="R32" s="19" t="str"/>
      <x:c r="S32" s="19" t="str">
        <x:v>high</x:v>
      </x:c>
      <x:c r="T32" s="19" t="str">
        <x:v>02_extracted_evidence/quotes.csv</x:v>
      </x:c>
      <x:c r="U32" s="19" t="str">
        <x:v>research_evidence_package_clinician_side_diagnostic_pain_points_2026-05-30.tar.gz::02_extracted_evidence/quotes.csv::Q006</x:v>
      </x:c>
    </x:row>
    <x:row r="33">
      <x:c r="A33" s="19" t="str">
        <x:v>D_clinician</x:v>
      </x:c>
      <x:c r="B33" s="19" t="str">
        <x:v>research_evidence_package_clinician_side_diagnostic_pain_points_2026-05-30.tar.gz</x:v>
      </x:c>
      <x:c r="C33" s="19" t="str">
        <x:v>Research D / clinician-side diagnostic pain points</x:v>
      </x:c>
      <x:c r="D33" s="19" t="str">
        <x:v>quote</x:v>
      </x:c>
      <x:c r="E33" s="19" t="str">
        <x:v>Q007</x:v>
      </x:c>
      <x:c r="F33" s="19" t="str">
        <x:v>S014</x:v>
      </x:c>
      <x:c r="G33" s="19" t="str">
        <x:v>It is the patient that suffers from poor communication: communication barriers during nurse handovers in Ghanaian hospitals</x:v>
      </x:c>
      <x:c r="H33" s="19" t="str">
        <x:v>https://www.sciencedirect.com/science/article/pii/S266732152400091X</x:v>
      </x:c>
      <x:c r="I33" s="19" t="str">
        <x:v>Ghana</x:v>
      </x:c>
      <x:c r="J33" s="19" t="str">
        <x:v>hospital handover</x:v>
      </x:c>
      <x:c r="K33" s="19" t="str">
        <x:v>handoff</x:v>
      </x:c>
      <x:c r="L33" s="19" t="str"/>
      <x:c r="M33" s="19" t="str">
        <x:v>handoff</x:v>
      </x:c>
      <x:c r="N33" s="19" t="str">
        <x:v>It’s the patient that suffers from poor communication.</x:v>
      </x:c>
      <x:c r="O33" s="19" t="str">
        <x:v>Connects staff communication barriers to patient harm.</x:v>
      </x:c>
      <x:c r="P33" s="19" t="str"/>
      <x:c r="Q33" s="19" t="str"/>
      <x:c r="R33" s="19" t="str"/>
      <x:c r="S33" s="19" t="str">
        <x:v>medium</x:v>
      </x:c>
      <x:c r="T33" s="19" t="str">
        <x:v>02_extracted_evidence/quotes.csv</x:v>
      </x:c>
      <x:c r="U33" s="19" t="str">
        <x:v>research_evidence_package_clinician_side_diagnostic_pain_points_2026-05-30.tar.gz::02_extracted_evidence/quotes.csv::Q007</x:v>
      </x:c>
    </x:row>
    <x:row r="34">
      <x:c r="A34" s="19" t="str">
        <x:v>D_clinician</x:v>
      </x:c>
      <x:c r="B34" s="19" t="str">
        <x:v>research_evidence_package_clinician_side_diagnostic_pain_points_2026-05-30.tar.gz</x:v>
      </x:c>
      <x:c r="C34" s="19" t="str">
        <x:v>Research D / clinician-side diagnostic pain points</x:v>
      </x:c>
      <x:c r="D34" s="19" t="str">
        <x:v>quote</x:v>
      </x:c>
      <x:c r="E34" s="19" t="str">
        <x:v>Q008</x:v>
      </x:c>
      <x:c r="F34" s="19" t="str">
        <x:v>S011</x:v>
      </x:c>
      <x:c r="G34" s="19" t="str">
        <x:v>The impact of staff fatigue on patient safety</x:v>
      </x:c>
      <x:c r="H34" s="19" t="str">
        <x:v>https://www.hssib.org.uk/patient-safety-investigations/the-impact-of-staff-fatigue-on-patient-safety/investigation-report/</x:v>
      </x:c>
      <x:c r="I34" s="19" t="str">
        <x:v>England</x:v>
      </x:c>
      <x:c r="J34" s="19" t="str">
        <x:v>acute hospitals</x:v>
      </x:c>
      <x:c r="K34" s="19" t="str">
        <x:v>fatigue</x:v>
      </x:c>
      <x:c r="L34" s="19" t="str"/>
      <x:c r="M34" s="19" t="str">
        <x:v>fatigue</x:v>
      </x:c>
      <x:c r="N34" s="19" t="str">
        <x:v>We are not only risking patient safety, but staff retention…</x:v>
      </x:c>
      <x:c r="O34" s="19" t="str">
        <x:v>Links fatigue to both safety and workforce sustainability.</x:v>
      </x:c>
      <x:c r="P34" s="19" t="str"/>
      <x:c r="Q34" s="19" t="str"/>
      <x:c r="R34" s="19" t="str"/>
      <x:c r="S34" s="19" t="str">
        <x:v>high</x:v>
      </x:c>
      <x:c r="T34" s="19" t="str">
        <x:v>02_extracted_evidence/quotes.csv</x:v>
      </x:c>
      <x:c r="U34" s="19" t="str">
        <x:v>research_evidence_package_clinician_side_diagnostic_pain_points_2026-05-30.tar.gz::02_extracted_evidence/quotes.csv::Q008</x:v>
      </x:c>
    </x:row>
    <x:row r="35">
      <x:c r="A35" s="19" t="str">
        <x:v>D_clinician</x:v>
      </x:c>
      <x:c r="B35" s="19" t="str">
        <x:v>research_evidence_package_clinician_side_diagnostic_pain_points_2026-05-30.tar.gz</x:v>
      </x:c>
      <x:c r="C35" s="19" t="str">
        <x:v>Research D / clinician-side diagnostic pain points</x:v>
      </x:c>
      <x:c r="D35" s="19" t="str">
        <x:v>quote</x:v>
      </x:c>
      <x:c r="E35" s="19" t="str">
        <x:v>Q009</x:v>
      </x:c>
      <x:c r="F35" s="19" t="str">
        <x:v>S011</x:v>
      </x:c>
      <x:c r="G35" s="19" t="str">
        <x:v>The impact of staff fatigue on patient safety</x:v>
      </x:c>
      <x:c r="H35" s="19" t="str">
        <x:v>https://www.hssib.org.uk/patient-safety-investigations/the-impact-of-staff-fatigue-on-patient-safety/investigation-report/</x:v>
      </x:c>
      <x:c r="I35" s="19" t="str">
        <x:v>England</x:v>
      </x:c>
      <x:c r="J35" s="19" t="str">
        <x:v>acute hospitals</x:v>
      </x:c>
      <x:c r="K35" s="19" t="str">
        <x:v>fatigue</x:v>
      </x:c>
      <x:c r="L35" s="19" t="str"/>
      <x:c r="M35" s="19" t="str">
        <x:v>fatigue</x:v>
      </x:c>
      <x:c r="N35" s="19" t="str">
        <x:v>I can’t remember how I got home.</x:v>
      </x:c>
      <x:c r="O35" s="19" t="str">
        <x:v>Shows severity of fatigue beyond abstract workload metrics.</x:v>
      </x:c>
      <x:c r="P35" s="19" t="str"/>
      <x:c r="Q35" s="19" t="str"/>
      <x:c r="R35" s="19" t="str"/>
      <x:c r="S35" s="19" t="str">
        <x:v>high</x:v>
      </x:c>
      <x:c r="T35" s="19" t="str">
        <x:v>02_extracted_evidence/quotes.csv</x:v>
      </x:c>
      <x:c r="U35" s="19" t="str">
        <x:v>research_evidence_package_clinician_side_diagnostic_pain_points_2026-05-30.tar.gz::02_extracted_evidence/quotes.csv::Q009</x:v>
      </x:c>
    </x:row>
    <x:row r="36">
      <x:c r="A36" s="19" t="str">
        <x:v>D_clinician</x:v>
      </x:c>
      <x:c r="B36" s="19" t="str">
        <x:v>research_evidence_package_clinician_side_diagnostic_pain_points_2026-05-30.tar.gz</x:v>
      </x:c>
      <x:c r="C36" s="19" t="str">
        <x:v>Research D / clinician-side diagnostic pain points</x:v>
      </x:c>
      <x:c r="D36" s="19" t="str">
        <x:v>quote</x:v>
      </x:c>
      <x:c r="E36" s="19" t="str">
        <x:v>Q010</x:v>
      </x:c>
      <x:c r="F36" s="19" t="str">
        <x:v>S015</x:v>
      </x:c>
      <x:c r="G36" s="19" t="str">
        <x:v>Assessments Under Pressure: Interviews With Triage Nurses in Emergency Care</x:v>
      </x:c>
      <x:c r="H36" s="19" t="str">
        <x:v>https://research-portal.uea.ac.uk/en/publications/assessments-under-pressure-interviews-with-triage-nurses-in-emerg/</x:v>
      </x:c>
      <x:c r="I36" s="19" t="str">
        <x:v>United Kingdom</x:v>
      </x:c>
      <x:c r="J36" s="19" t="str">
        <x:v>ED triage</x:v>
      </x:c>
      <x:c r="K36" s="19" t="str">
        <x:v>triage overload</x:v>
      </x:c>
      <x:c r="L36" s="19" t="str"/>
      <x:c r="M36" s="19" t="str">
        <x:v>triage overload</x:v>
      </x:c>
      <x:c r="N36" s="19" t="str">
        <x:v>substantial cognitive and emotional strain.</x:v>
      </x:c>
      <x:c r="O36" s="19" t="str">
        <x:v>Shows triage is cognitively and emotionally demanding.</x:v>
      </x:c>
      <x:c r="P36" s="19" t="str"/>
      <x:c r="Q36" s="19" t="str"/>
      <x:c r="R36" s="19" t="str"/>
      <x:c r="S36" s="19" t="str">
        <x:v>medium</x:v>
      </x:c>
      <x:c r="T36" s="19" t="str">
        <x:v>02_extracted_evidence/quotes.csv</x:v>
      </x:c>
      <x:c r="U36" s="19" t="str">
        <x:v>research_evidence_package_clinician_side_diagnostic_pain_points_2026-05-30.tar.gz::02_extracted_evidence/quotes.csv::Q010</x:v>
      </x:c>
    </x:row>
    <x:row r="37">
      <x:c r="A37" s="19" t="str">
        <x:v>D_clinician</x:v>
      </x:c>
      <x:c r="B37" s="19" t="str">
        <x:v>research_evidence_package_clinician_side_diagnostic_pain_points_2026-05-30.tar.gz</x:v>
      </x:c>
      <x:c r="C37" s="19" t="str">
        <x:v>Research D / clinician-side diagnostic pain points</x:v>
      </x:c>
      <x:c r="D37" s="19" t="str">
        <x:v>quote</x:v>
      </x:c>
      <x:c r="E37" s="19" t="str">
        <x:v>Q011</x:v>
      </x:c>
      <x:c r="F37" s="19" t="str">
        <x:v>S024</x:v>
      </x:c>
      <x:c r="G37" s="19" t="str">
        <x:v>KevinMD emergency diagnostic-error podcast / clinician commentary</x:v>
      </x:c>
      <x:c r="H37" s="19" t="str">
        <x:v>https://www.kevinmd.com/2025/04/how-to-reduce-diagnostic-error-in-the-emergency-department-podcast.html</x:v>
      </x:c>
      <x:c r="I37" s="19" t="str">
        <x:v>United States</x:v>
      </x:c>
      <x:c r="J37" s="19" t="str">
        <x:v>emergency department</x:v>
      </x:c>
      <x:c r="K37" s="19" t="str">
        <x:v>workflow visibility</x:v>
      </x:c>
      <x:c r="L37" s="19" t="str"/>
      <x:c r="M37" s="19" t="str">
        <x:v>workflow visibility</x:v>
      </x:c>
      <x:c r="N37" s="19" t="str">
        <x:v>Follow me around for a shift; see what my screen looks like.</x:v>
      </x:c>
      <x:c r="O37" s="19" t="str">
        <x:v>Supports field observation and screen-level design.</x:v>
      </x:c>
      <x:c r="P37" s="19" t="str"/>
      <x:c r="Q37" s="19" t="str"/>
      <x:c r="R37" s="19" t="str"/>
      <x:c r="S37" s="19" t="str">
        <x:v>low-medium</x:v>
      </x:c>
      <x:c r="T37" s="19" t="str">
        <x:v>02_extracted_evidence/quotes.csv</x:v>
      </x:c>
      <x:c r="U37" s="19" t="str">
        <x:v>research_evidence_package_clinician_side_diagnostic_pain_points_2026-05-30.tar.gz::02_extracted_evidence/quotes.csv::Q011</x:v>
      </x:c>
    </x:row>
    <x:row r="38">
      <x:c r="A38" s="19" t="str">
        <x:v>D_clinician</x:v>
      </x:c>
      <x:c r="B38" s="19" t="str">
        <x:v>research_evidence_package_clinician_side_diagnostic_pain_points_2026-05-30.tar.gz</x:v>
      </x:c>
      <x:c r="C38" s="19" t="str">
        <x:v>Research D / clinician-side diagnostic pain points</x:v>
      </x:c>
      <x:c r="D38" s="19" t="str">
        <x:v>quote</x:v>
      </x:c>
      <x:c r="E38" s="19" t="str">
        <x:v>Q012</x:v>
      </x:c>
      <x:c r="F38" s="19" t="str">
        <x:v>S020</x:v>
      </x:c>
      <x:c r="G38" s="19" t="str">
        <x:v>The influence of difficult patient behaviour on physicians’ diagnostic performance</x:v>
      </x:c>
      <x:c r="H38" s="19" t="str">
        <x:v>https://qualitysafety.bmj.com/content/26/1/13</x:v>
      </x:c>
      <x:c r="I38" s="19" t="str">
        <x:v>Netherlands</x:v>
      </x:c>
      <x:c r="J38" s="19" t="str">
        <x:v>diagnostic reasoning experiments</x:v>
      </x:c>
      <x:c r="K38" s="19" t="str">
        <x:v>bias</x:v>
      </x:c>
      <x:c r="L38" s="19" t="str"/>
      <x:c r="M38" s="19" t="str">
        <x:v>bias</x:v>
      </x:c>
      <x:c r="N38" s="19" t="str">
        <x:v>Difficult patients may negatively affect doctors’ diagnostic reasoning.</x:v>
      </x:c>
      <x:c r="O38" s="19" t="str">
        <x:v>Shows emotional/cognitive bias can affect diagnostic accuracy.</x:v>
      </x:c>
      <x:c r="P38" s="19" t="str"/>
      <x:c r="Q38" s="19" t="str"/>
      <x:c r="R38" s="19" t="str"/>
      <x:c r="S38" s="19" t="str">
        <x:v>medium</x:v>
      </x:c>
      <x:c r="T38" s="19" t="str">
        <x:v>02_extracted_evidence/quotes.csv</x:v>
      </x:c>
      <x:c r="U38" s="19" t="str">
        <x:v>research_evidence_package_clinician_side_diagnostic_pain_points_2026-05-30.tar.gz::02_extracted_evidence/quotes.csv::Q012</x:v>
      </x:c>
    </x:row>
    <x:row r="39">
      <x:c r="A39" s="19" t="str">
        <x:v>D_clinician</x:v>
      </x:c>
      <x:c r="B39" s="19" t="str">
        <x:v>research_evidence_package_clinician_side_diagnostic_pain_points_2026-05-30.tar.gz</x:v>
      </x:c>
      <x:c r="C39" s="19" t="str">
        <x:v>Research D / clinician-side diagnostic pain points</x:v>
      </x:c>
      <x:c r="D39" s="19" t="str">
        <x:v>quote</x:v>
      </x:c>
      <x:c r="E39" s="19" t="str">
        <x:v>Q013</x:v>
      </x:c>
      <x:c r="F39" s="19" t="str">
        <x:v>S021</x:v>
      </x:c>
      <x:c r="G39" s="19" t="str">
        <x:v>Diagnostic overshadowing in emergency departments</x:v>
      </x:c>
      <x:c r="H39" s="19" t="str">
        <x:v>https://journals.plos.org/plosone/article?id=10.1371%2Fjournal.pone.0111682</x:v>
      </x:c>
      <x:c r="I39" s="19" t="str">
        <x:v>United Kingdom</x:v>
      </x:c>
      <x:c r="J39" s="19" t="str">
        <x:v>ED / psychiatric liaison</x:v>
      </x:c>
      <x:c r="K39" s="19" t="str">
        <x:v>diagnostic overshadowing</x:v>
      </x:c>
      <x:c r="L39" s="19" t="str"/>
      <x:c r="M39" s="19" t="str">
        <x:v>diagnostic overshadowing</x:v>
      </x:c>
      <x:c r="N39" s="19" t="str">
        <x:v>Diagnostic overshadowing is the misattribution of physical symptoms to mental illness.</x:v>
      </x:c>
      <x:c r="O39" s="19" t="str">
        <x:v>Keeps physical red flags visible in mental-health presentations.</x:v>
      </x:c>
      <x:c r="P39" s="19" t="str"/>
      <x:c r="Q39" s="19" t="str"/>
      <x:c r="R39" s="19" t="str"/>
      <x:c r="S39" s="19" t="str">
        <x:v>medium</x:v>
      </x:c>
      <x:c r="T39" s="19" t="str">
        <x:v>02_extracted_evidence/quotes.csv</x:v>
      </x:c>
      <x:c r="U39" s="19" t="str">
        <x:v>research_evidence_package_clinician_side_diagnostic_pain_points_2026-05-30.tar.gz::02_extracted_evidence/quotes.csv::Q013</x:v>
      </x:c>
    </x:row>
    <x:row r="40">
      <x:c r="A40" s="19" t="str">
        <x:v>D_clinician</x:v>
      </x:c>
      <x:c r="B40" s="19" t="str">
        <x:v>research_evidence_package_clinician_side_diagnostic_pain_points_2026-05-30.tar.gz</x:v>
      </x:c>
      <x:c r="C40" s="19" t="str">
        <x:v>Research D / clinician-side diagnostic pain points</x:v>
      </x:c>
      <x:c r="D40" s="19" t="str">
        <x:v>metric</x:v>
      </x:c>
      <x:c r="E40" s="19" t="str">
        <x:v>M001</x:v>
      </x:c>
      <x:c r="F40" s="19" t="str">
        <x:v>S001</x:v>
      </x:c>
      <x:c r="G40" s="19" t="str">
        <x:v>AHRQ Diagnostic Safety and Quality</x:v>
      </x:c>
      <x:c r="H40" s="19" t="str">
        <x:v>https://www.ahrq.gov/diagnostic-safety/index.html</x:v>
      </x:c>
      <x:c r="I40" s="19" t="str">
        <x:v>United States</x:v>
      </x:c>
      <x:c r="J40" s="19" t="str">
        <x:v>all settings</x:v>
      </x:c>
      <x:c r="K40" s="19" t="str"/>
      <x:c r="L40" s="19" t="str">
        <x:v>Annual death or permanent disability from disease misdiagnoses</x:v>
      </x:c>
      <x:c r="M40" s="19" t="str"/>
      <x:c r="N40" s="19" t="str">
        <x:v>Annual death or permanent disability from disease misdiagnoses</x:v>
      </x:c>
      <x:c r="O40" s="19" t="str">
        <x:v>Shows scale of diagnostic-safety problem.</x:v>
      </x:c>
      <x:c r="P40" s="19" t="str"/>
      <x:c r="Q40" s="19" t="str">
        <x:v>current page accessed 2026-05-30</x:v>
      </x:c>
      <x:c r="R40" s="19" t="str"/>
      <x:c r="S40" s="19" t="str">
        <x:v>high</x:v>
      </x:c>
      <x:c r="T40" s="19" t="str">
        <x:v>02_extracted_evidence/statistics_or_metrics.csv</x:v>
      </x:c>
      <x:c r="U40" s="19" t="str">
        <x:v>research_evidence_package_clinician_side_diagnostic_pain_points_2026-05-30.tar.gz::02_extracted_evidence/statistics_or_metrics.csv::M001</x:v>
      </x:c>
    </x:row>
    <x:row r="41">
      <x:c r="A41" s="19" t="str">
        <x:v>D_clinician</x:v>
      </x:c>
      <x:c r="B41" s="19" t="str">
        <x:v>research_evidence_package_clinician_side_diagnostic_pain_points_2026-05-30.tar.gz</x:v>
      </x:c>
      <x:c r="C41" s="19" t="str">
        <x:v>Research D / clinician-side diagnostic pain points</x:v>
      </x:c>
      <x:c r="D41" s="19" t="str">
        <x:v>metric</x:v>
      </x:c>
      <x:c r="E41" s="19" t="str">
        <x:v>M002</x:v>
      </x:c>
      <x:c r="F41" s="19" t="str">
        <x:v>S005</x:v>
      </x:c>
      <x:c r="G41" s="19" t="str">
        <x:v>Information Overload and Missed Test Results in Electronic Health Record-Based Settings</x:v>
      </x:c>
      <x:c r="H41" s="19" t="str">
        <x:v>https://jamanetwork.com/journals/jamainternalmedicine/fullarticle/1657753</x:v>
      </x:c>
      <x:c r="I41" s="19" t="str">
        <x:v>United States</x:v>
      </x:c>
      <x:c r="J41" s="19" t="str">
        <x:v>VA primary care</x:v>
      </x:c>
      <x:c r="K41" s="19" t="str"/>
      <x:c r="L41" s="19" t="str">
        <x:v>Median EHR alerts per day</x:v>
      </x:c>
      <x:c r="M41" s="19" t="str"/>
      <x:c r="N41" s="19" t="str">
        <x:v>Median EHR alerts per day</x:v>
      </x:c>
      <x:c r="O41" s="19" t="str">
        <x:v>Quantifies alert load on clinicians.</x:v>
      </x:c>
      <x:c r="P41" s="19" t="str"/>
      <x:c r="Q41" s="19" t="str">
        <x:v>survey period unknown</x:v>
      </x:c>
      <x:c r="R41" s="19" t="str"/>
      <x:c r="S41" s="19" t="str">
        <x:v>high</x:v>
      </x:c>
      <x:c r="T41" s="19" t="str">
        <x:v>02_extracted_evidence/statistics_or_metrics.csv</x:v>
      </x:c>
      <x:c r="U41" s="19" t="str">
        <x:v>research_evidence_package_clinician_side_diagnostic_pain_points_2026-05-30.tar.gz::02_extracted_evidence/statistics_or_metrics.csv::M002</x:v>
      </x:c>
    </x:row>
    <x:row r="42">
      <x:c r="A42" s="19" t="str">
        <x:v>D_clinician</x:v>
      </x:c>
      <x:c r="B42" s="19" t="str">
        <x:v>research_evidence_package_clinician_side_diagnostic_pain_points_2026-05-30.tar.gz</x:v>
      </x:c>
      <x:c r="C42" s="19" t="str">
        <x:v>Research D / clinician-side diagnostic pain points</x:v>
      </x:c>
      <x:c r="D42" s="19" t="str">
        <x:v>metric</x:v>
      </x:c>
      <x:c r="E42" s="19" t="str">
        <x:v>M003</x:v>
      </x:c>
      <x:c r="F42" s="19" t="str">
        <x:v>S005</x:v>
      </x:c>
      <x:c r="G42" s="19" t="str">
        <x:v>Information Overload and Missed Test Results in Electronic Health Record-Based Settings</x:v>
      </x:c>
      <x:c r="H42" s="19" t="str">
        <x:v>https://jamanetwork.com/journals/jamainternalmedicine/fullarticle/1657753</x:v>
      </x:c>
      <x:c r="I42" s="19" t="str">
        <x:v>United States</x:v>
      </x:c>
      <x:c r="J42" s="19" t="str">
        <x:v>VA primary care</x:v>
      </x:c>
      <x:c r="K42" s="19" t="str"/>
      <x:c r="L42" s="19" t="str">
        <x:v>Practitioners saying EHR notification system made it possible to miss test results</x:v>
      </x:c>
      <x:c r="M42" s="19" t="str"/>
      <x:c r="N42" s="19" t="str">
        <x:v>Practitioners saying EHR notification system made it possible to miss test results</x:v>
      </x:c>
      <x:c r="O42" s="19" t="str">
        <x:v>Shows clinician-perceived result-follow-up safety risk.</x:v>
      </x:c>
      <x:c r="P42" s="19" t="str"/>
      <x:c r="Q42" s="19" t="str">
        <x:v>survey period unknown</x:v>
      </x:c>
      <x:c r="R42" s="19" t="str"/>
      <x:c r="S42" s="19" t="str">
        <x:v>high</x:v>
      </x:c>
      <x:c r="T42" s="19" t="str">
        <x:v>02_extracted_evidence/statistics_or_metrics.csv</x:v>
      </x:c>
      <x:c r="U42" s="19" t="str">
        <x:v>research_evidence_package_clinician_side_diagnostic_pain_points_2026-05-30.tar.gz::02_extracted_evidence/statistics_or_metrics.csv::M003</x:v>
      </x:c>
    </x:row>
    <x:row r="43">
      <x:c r="A43" s="19" t="str">
        <x:v>D_clinician</x:v>
      </x:c>
      <x:c r="B43" s="19" t="str">
        <x:v>research_evidence_package_clinician_side_diagnostic_pain_points_2026-05-30.tar.gz</x:v>
      </x:c>
      <x:c r="C43" s="19" t="str">
        <x:v>Research D / clinician-side diagnostic pain points</x:v>
      </x:c>
      <x:c r="D43" s="19" t="str">
        <x:v>metric</x:v>
      </x:c>
      <x:c r="E43" s="19" t="str">
        <x:v>M004</x:v>
      </x:c>
      <x:c r="F43" s="19" t="str">
        <x:v>S005</x:v>
      </x:c>
      <x:c r="G43" s="19" t="str">
        <x:v>Information Overload and Missed Test Results in Electronic Health Record-Based Settings</x:v>
      </x:c>
      <x:c r="H43" s="19" t="str">
        <x:v>https://jamanetwork.com/journals/jamainternalmedicine/fullarticle/1657753</x:v>
      </x:c>
      <x:c r="I43" s="19" t="str">
        <x:v>United States</x:v>
      </x:c>
      <x:c r="J43" s="19" t="str">
        <x:v>VA primary care</x:v>
      </x:c>
      <x:c r="K43" s="19" t="str"/>
      <x:c r="L43" s="19" t="str">
        <x:v>Practitioners reporting personally missed abnormal lab/imaging results delaying care</x:v>
      </x:c>
      <x:c r="M43" s="19" t="str"/>
      <x:c r="N43" s="19" t="str">
        <x:v>Practitioners reporting personally missed abnormal lab/imaging results delaying care</x:v>
      </x:c>
      <x:c r="O43" s="19" t="str">
        <x:v>Shows alert overload can translate into delayed care.</x:v>
      </x:c>
      <x:c r="P43" s="19" t="str"/>
      <x:c r="Q43" s="19" t="str">
        <x:v>past year</x:v>
      </x:c>
      <x:c r="R43" s="19" t="str"/>
      <x:c r="S43" s="19" t="str">
        <x:v>high</x:v>
      </x:c>
      <x:c r="T43" s="19" t="str">
        <x:v>02_extracted_evidence/statistics_or_metrics.csv</x:v>
      </x:c>
      <x:c r="U43" s="19" t="str">
        <x:v>research_evidence_package_clinician_side_diagnostic_pain_points_2026-05-30.tar.gz::02_extracted_evidence/statistics_or_metrics.csv::M004</x:v>
      </x:c>
    </x:row>
    <x:row r="44">
      <x:c r="A44" s="19" t="str">
        <x:v>D_clinician</x:v>
      </x:c>
      <x:c r="B44" s="19" t="str">
        <x:v>research_evidence_package_clinician_side_diagnostic_pain_points_2026-05-30.tar.gz</x:v>
      </x:c>
      <x:c r="C44" s="19" t="str">
        <x:v>Research D / clinician-side diagnostic pain points</x:v>
      </x:c>
      <x:c r="D44" s="19" t="str">
        <x:v>metric</x:v>
      </x:c>
      <x:c r="E44" s="19" t="str">
        <x:v>M005</x:v>
      </x:c>
      <x:c r="F44" s="19" t="str">
        <x:v>S007</x:v>
      </x:c>
      <x:c r="G44" s="19" t="str">
        <x:v>Time Pressure During Primary Care Office Visits</x:v>
      </x:c>
      <x:c r="H44" s="19" t="str">
        <x:v>https://link.springer.com/article/10.1007/s11606-019-05343-6</x:v>
      </x:c>
      <x:c r="I44" s="19" t="str">
        <x:v>United States</x:v>
      </x:c>
      <x:c r="J44" s="19" t="str">
        <x:v>primary care</x:v>
      </x:c>
      <x:c r="K44" s="19" t="str"/>
      <x:c r="L44" s="19" t="str">
        <x:v>Clinicians needing more time for new patients</x:v>
      </x:c>
      <x:c r="M44" s="19" t="str"/>
      <x:c r="N44" s="19" t="str">
        <x:v>Clinicians needing more time for new patients</x:v>
      </x:c>
      <x:c r="O44" s="19" t="str">
        <x:v>Quantifies time pressure in first assessments.</x:v>
      </x:c>
      <x:c r="P44" s="19" t="str"/>
      <x:c r="Q44" s="19" t="str">
        <x:v>study period unknown</x:v>
      </x:c>
      <x:c r="R44" s="19" t="str"/>
      <x:c r="S44" s="19" t="str">
        <x:v>high</x:v>
      </x:c>
      <x:c r="T44" s="19" t="str">
        <x:v>02_extracted_evidence/statistics_or_metrics.csv</x:v>
      </x:c>
      <x:c r="U44" s="19" t="str">
        <x:v>research_evidence_package_clinician_side_diagnostic_pain_points_2026-05-30.tar.gz::02_extracted_evidence/statistics_or_metrics.csv::M005</x:v>
      </x:c>
    </x:row>
    <x:row r="45">
      <x:c r="A45" s="19" t="str">
        <x:v>D_clinician</x:v>
      </x:c>
      <x:c r="B45" s="19" t="str">
        <x:v>research_evidence_package_clinician_side_diagnostic_pain_points_2026-05-30.tar.gz</x:v>
      </x:c>
      <x:c r="C45" s="19" t="str">
        <x:v>Research D / clinician-side diagnostic pain points</x:v>
      </x:c>
      <x:c r="D45" s="19" t="str">
        <x:v>metric</x:v>
      </x:c>
      <x:c r="E45" s="19" t="str">
        <x:v>M006</x:v>
      </x:c>
      <x:c r="F45" s="19" t="str">
        <x:v>S007</x:v>
      </x:c>
      <x:c r="G45" s="19" t="str">
        <x:v>Time Pressure During Primary Care Office Visits</x:v>
      </x:c>
      <x:c r="H45" s="19" t="str">
        <x:v>https://link.springer.com/article/10.1007/s11606-019-05343-6</x:v>
      </x:c>
      <x:c r="I45" s="19" t="str">
        <x:v>United States</x:v>
      </x:c>
      <x:c r="J45" s="19" t="str">
        <x:v>primary care</x:v>
      </x:c>
      <x:c r="K45" s="19" t="str"/>
      <x:c r="L45" s="19" t="str">
        <x:v>Clinicians needing more time for follow-up visits</x:v>
      </x:c>
      <x:c r="M45" s="19" t="str"/>
      <x:c r="N45" s="19" t="str">
        <x:v>Clinicians needing more time for follow-up visits</x:v>
      </x:c>
      <x:c r="O45" s="19" t="str">
        <x:v>Shows time pressure also affects follow-up.</x:v>
      </x:c>
      <x:c r="P45" s="19" t="str"/>
      <x:c r="Q45" s="19" t="str">
        <x:v>study period unknown</x:v>
      </x:c>
      <x:c r="R45" s="19" t="str"/>
      <x:c r="S45" s="19" t="str">
        <x:v>high</x:v>
      </x:c>
      <x:c r="T45" s="19" t="str">
        <x:v>02_extracted_evidence/statistics_or_metrics.csv</x:v>
      </x:c>
      <x:c r="U45" s="19" t="str">
        <x:v>research_evidence_package_clinician_side_diagnostic_pain_points_2026-05-30.tar.gz::02_extracted_evidence/statistics_or_metrics.csv::M006</x:v>
      </x:c>
    </x:row>
    <x:row r="46">
      <x:c r="A46" s="19" t="str">
        <x:v>D_clinician</x:v>
      </x:c>
      <x:c r="B46" s="19" t="str">
        <x:v>research_evidence_package_clinician_side_diagnostic_pain_points_2026-05-30.tar.gz</x:v>
      </x:c>
      <x:c r="C46" s="19" t="str">
        <x:v>Research D / clinician-side diagnostic pain points</x:v>
      </x:c>
      <x:c r="D46" s="19" t="str">
        <x:v>metric</x:v>
      </x:c>
      <x:c r="E46" s="19" t="str">
        <x:v>M007</x:v>
      </x:c>
      <x:c r="F46" s="19" t="str">
        <x:v>S012</x:v>
      </x:c>
      <x:c r="G46" s="19" t="str">
        <x:v>Diagnostic Errors in the Emergency Department: A Systematic Review</x:v>
      </x:c>
      <x:c r="H46" s="19" t="str">
        <x:v>https://www.ncbi.nlm.nih.gov/sites/books/NBK588118/</x:v>
      </x:c>
      <x:c r="I46" s="19" t="str">
        <x:v>Mostly United States</x:v>
      </x:c>
      <x:c r="J46" s="19" t="str">
        <x:v>emergency department</x:v>
      </x:c>
      <x:c r="K46" s="19" t="str"/>
      <x:c r="L46" s="19" t="str">
        <x:v>Serious ED misdiagnosis harms accounted for by top 15 conditions</x:v>
      </x:c>
      <x:c r="M46" s="19" t="str"/>
      <x:c r="N46" s="19" t="str">
        <x:v>Serious ED misdiagnosis harms accounted for by top 15 conditions</x:v>
      </x:c>
      <x:c r="O46" s="19" t="str">
        <x:v>Shows harms concentrate in a manageable set of high-risk conditions.</x:v>
      </x:c>
      <x:c r="P46" s="19" t="str"/>
      <x:c r="Q46" s="19" t="str">
        <x:v>review period unknown</x:v>
      </x:c>
      <x:c r="R46" s="19" t="str"/>
      <x:c r="S46" s="19" t="str">
        <x:v>high</x:v>
      </x:c>
      <x:c r="T46" s="19" t="str">
        <x:v>02_extracted_evidence/statistics_or_metrics.csv</x:v>
      </x:c>
      <x:c r="U46" s="19" t="str">
        <x:v>research_evidence_package_clinician_side_diagnostic_pain_points_2026-05-30.tar.gz::02_extracted_evidence/statistics_or_metrics.csv::M007</x:v>
      </x:c>
    </x:row>
    <x:row r="47">
      <x:c r="A47" s="19" t="str">
        <x:v>D_clinician</x:v>
      </x:c>
      <x:c r="B47" s="19" t="str">
        <x:v>research_evidence_package_clinician_side_diagnostic_pain_points_2026-05-30.tar.gz</x:v>
      </x:c>
      <x:c r="C47" s="19" t="str">
        <x:v>Research D / clinician-side diagnostic pain points</x:v>
      </x:c>
      <x:c r="D47" s="19" t="str">
        <x:v>metric</x:v>
      </x:c>
      <x:c r="E47" s="19" t="str">
        <x:v>M008</x:v>
      </x:c>
      <x:c r="F47" s="19" t="str">
        <x:v>S016</x:v>
      </x:c>
      <x:c r="G47" s="19" t="str">
        <x:v>Closing the loop on diagnostic referrals</x:v>
      </x:c>
      <x:c r="H47" s="19" t="str">
        <x:v>https://bmjopenquality.bmj.com/content/10/4/e001603</x:v>
      </x:c>
      <x:c r="I47" s="19" t="str">
        <x:v>United States</x:v>
      </x:c>
      <x:c r="J47" s="19" t="str">
        <x:v>primary-specialty referrals</x:v>
      </x:c>
      <x:c r="K47" s="19" t="str"/>
      <x:c r="L47" s="19" t="str">
        <x:v>Referral-loop failure-rate range cited</x:v>
      </x:c>
      <x:c r="M47" s="19" t="str"/>
      <x:c r="N47" s="19" t="str">
        <x:v>Referral-loop failure-rate range cited</x:v>
      </x:c>
      <x:c r="O47" s="19" t="str">
        <x:v>Shows referral completion/follow-up is a major diagnostic black zone.</x:v>
      </x:c>
      <x:c r="P47" s="19" t="str"/>
      <x:c r="Q47" s="19" t="str">
        <x:v>not specified in completed research</x:v>
      </x:c>
      <x:c r="R47" s="19" t="str"/>
      <x:c r="S47" s="19" t="str">
        <x:v>medium-high</x:v>
      </x:c>
      <x:c r="T47" s="19" t="str">
        <x:v>02_extracted_evidence/statistics_or_metrics.csv</x:v>
      </x:c>
      <x:c r="U47" s="19" t="str">
        <x:v>research_evidence_package_clinician_side_diagnostic_pain_points_2026-05-30.tar.gz::02_extracted_evidence/statistics_or_metrics.csv::M008</x:v>
      </x:c>
    </x:row>
    <x:row r="48">
      <x:c r="A48" s="19" t="str">
        <x:v>D_clinician</x:v>
      </x:c>
      <x:c r="B48" s="19" t="str">
        <x:v>research_evidence_package_clinician_side_diagnostic_pain_points_2026-05-30.tar.gz</x:v>
      </x:c>
      <x:c r="C48" s="19" t="str">
        <x:v>Research D / clinician-side diagnostic pain points</x:v>
      </x:c>
      <x:c r="D48" s="19" t="str">
        <x:v>metric</x:v>
      </x:c>
      <x:c r="E48" s="19" t="str">
        <x:v>M009</x:v>
      </x:c>
      <x:c r="F48" s="19" t="str">
        <x:v>S023</x:v>
      </x:c>
      <x:c r="G48" s="19" t="str">
        <x:v>Lancet Commission on diagnostics / diagnostic access gap</x:v>
      </x:c>
      <x:c r="H48" s="19" t="str">
        <x:v>https://pmc.ncbi.nlm.nih.gov/articles/PMC8654090/</x:v>
      </x:c>
      <x:c r="I48" s="19" t="str">
        <x:v>Global / LMIC</x:v>
      </x:c>
      <x:c r="J48" s="19" t="str">
        <x:v>diagnostic access</x:v>
      </x:c>
      <x:c r="K48" s="19" t="str"/>
      <x:c r="L48" s="19" t="str">
        <x:v>World population with little or no diagnostic access</x:v>
      </x:c>
      <x:c r="M48" s="19" t="str"/>
      <x:c r="N48" s="19" t="str">
        <x:v>World population with little or no diagnostic access</x:v>
      </x:c>
      <x:c r="O48" s="19" t="str">
        <x:v>Shows low-resource diagnostic scarcity.</x:v>
      </x:c>
      <x:c r="P48" s="19" t="str"/>
      <x:c r="Q48" s="19" t="str">
        <x:v>2021 source</x:v>
      </x:c>
      <x:c r="R48" s="19" t="str"/>
      <x:c r="S48" s="19" t="str">
        <x:v>high</x:v>
      </x:c>
      <x:c r="T48" s="19" t="str">
        <x:v>02_extracted_evidence/statistics_or_metrics.csv</x:v>
      </x:c>
      <x:c r="U48" s="19" t="str">
        <x:v>research_evidence_package_clinician_side_diagnostic_pain_points_2026-05-30.tar.gz::02_extracted_evidence/statistics_or_metrics.csv::M009</x:v>
      </x:c>
    </x:row>
    <x:row r="49">
      <x:c r="A49" s="19" t="str">
        <x:v>D_clinician</x:v>
      </x:c>
      <x:c r="B49" s="19" t="str">
        <x:v>research_evidence_package_clinician_side_diagnostic_pain_points_2026-05-30.tar.gz</x:v>
      </x:c>
      <x:c r="C49" s="19" t="str">
        <x:v>Research D / clinician-side diagnostic pain points</x:v>
      </x:c>
      <x:c r="D49" s="19" t="str">
        <x:v>metric</x:v>
      </x:c>
      <x:c r="E49" s="19" t="str">
        <x:v>M010</x:v>
      </x:c>
      <x:c r="F49" s="19" t="str">
        <x:v>S023</x:v>
      </x:c>
      <x:c r="G49" s="19" t="str">
        <x:v>Lancet Commission on diagnostics / diagnostic access gap</x:v>
      </x:c>
      <x:c r="H49" s="19" t="str">
        <x:v>https://pmc.ncbi.nlm.nih.gov/articles/PMC8654090/</x:v>
      </x:c>
      <x:c r="I49" s="19" t="str">
        <x:v>Global / LMIC</x:v>
      </x:c>
      <x:c r="J49" s="19" t="str">
        <x:v>primary care</x:v>
      </x:c>
      <x:c r="K49" s="19" t="str"/>
      <x:c r="L49" s="19" t="str">
        <x:v>Low/lower-middle-income population with access to basic diagnostics at primary-care level</x:v>
      </x:c>
      <x:c r="M49" s="19" t="str"/>
      <x:c r="N49" s="19" t="str">
        <x:v>Low/lower-middle-income population with access to basic diagnostics at primary-care level</x:v>
      </x:c>
      <x:c r="O49" s="19" t="str">
        <x:v>Shows basic diagnostics are often unavailable where first contact occurs.</x:v>
      </x:c>
      <x:c r="P49" s="19" t="str"/>
      <x:c r="Q49" s="19" t="str">
        <x:v>2021 source</x:v>
      </x:c>
      <x:c r="R49" s="19" t="str"/>
      <x:c r="S49" s="19" t="str">
        <x:v>high</x:v>
      </x:c>
      <x:c r="T49" s="19" t="str">
        <x:v>02_extracted_evidence/statistics_or_metrics.csv</x:v>
      </x:c>
      <x:c r="U49" s="19" t="str">
        <x:v>research_evidence_package_clinician_side_diagnostic_pain_points_2026-05-30.tar.gz::02_extracted_evidence/statistics_or_metrics.csv::M010</x:v>
      </x:c>
    </x:row>
    <x:row r="50">
      <x:c r="A50" s="19" t="str">
        <x:v>D_clinician</x:v>
      </x:c>
      <x:c r="B50" s="19" t="str">
        <x:v>research_evidence_package_clinician_side_diagnostic_pain_points_2026-05-30.tar.gz</x:v>
      </x:c>
      <x:c r="C50" s="19" t="str">
        <x:v>Research D / clinician-side diagnostic pain points</x:v>
      </x:c>
      <x:c r="D50" s="19" t="str">
        <x:v>fact</x:v>
      </x:c>
      <x:c r="E50" s="19" t="str">
        <x:v>F001</x:v>
      </x:c>
      <x:c r="F50" s="19" t="str">
        <x:v>S001</x:v>
      </x:c>
      <x:c r="G50" s="19" t="str">
        <x:v>AHRQ Diagnostic Safety and Quality</x:v>
      </x:c>
      <x:c r="H50" s="19" t="str">
        <x:v>https://www.ahrq.gov/diagnostic-safety/index.html</x:v>
      </x:c>
      <x:c r="I50" s="19" t="str">
        <x:v>United States</x:v>
      </x:c>
      <x:c r="J50" s="19" t="str">
        <x:v>all settings</x:v>
      </x:c>
      <x:c r="K50" s="19" t="str">
        <x:v>diagnostic burden</x:v>
      </x:c>
      <x:c r="L50" s="19" t="str"/>
      <x:c r="M50" s="19" t="str">
        <x:v>diagnostic burden</x:v>
      </x:c>
      <x:c r="N50" s="19" t="str">
        <x:v>AHRQ estimates 795,000 Americans die or are permanently disabled each year from disease misdiagnoses.</x:v>
      </x:c>
      <x:c r="O50" s="19" t="str">
        <x:v>Burden estimate used as background anchor for diagnostic-safety importance.</x:v>
      </x:c>
      <x:c r="P50" s="19" t="str"/>
      <x:c r="Q50" s="19" t="str"/>
      <x:c r="R50" s="19" t="str"/>
      <x:c r="S50" s="19" t="str">
        <x:v>high</x:v>
      </x:c>
      <x:c r="T50" s="19" t="str">
        <x:v>02_extracted_evidence/facts.csv</x:v>
      </x:c>
      <x:c r="U50" s="19" t="str">
        <x:v>research_evidence_package_clinician_side_diagnostic_pain_points_2026-05-30.tar.gz::02_extracted_evidence/facts.csv::F001</x:v>
      </x:c>
    </x:row>
    <x:row r="51">
      <x:c r="A51" s="19" t="str">
        <x:v>D_clinician</x:v>
      </x:c>
      <x:c r="B51" s="19" t="str">
        <x:v>research_evidence_package_clinician_side_diagnostic_pain_points_2026-05-30.tar.gz</x:v>
      </x:c>
      <x:c r="C51" s="19" t="str">
        <x:v>Research D / clinician-side diagnostic pain points</x:v>
      </x:c>
      <x:c r="D51" s="19" t="str">
        <x:v>fact</x:v>
      </x:c>
      <x:c r="E51" s="19" t="str">
        <x:v>F002</x:v>
      </x:c>
      <x:c r="F51" s="19" t="str">
        <x:v>S002</x:v>
      </x:c>
      <x:c r="G51" s="19" t="str">
        <x:v>Improving Diagnosis in Health Care</x:v>
      </x:c>
      <x:c r="H51" s="19" t="str">
        <x:v>https://www.nationalacademies.org/read/21794/chapter/1</x:v>
      </x:c>
      <x:c r="I51" s="19" t="str">
        <x:v>United States</x:v>
      </x:c>
      <x:c r="J51" s="19" t="str">
        <x:v>all settings</x:v>
      </x:c>
      <x:c r="K51" s="19" t="str">
        <x:v>diagnostic process</x:v>
      </x:c>
      <x:c r="L51" s="19" t="str"/>
      <x:c r="M51" s="19" t="str">
        <x:v>diagnostic process</x:v>
      </x:c>
      <x:c r="N51" s="19" t="str">
        <x:v>Diagnosis is framed as a collaborative, patient-centered process rather than a single physician act.</x:v>
      </x:c>
      <x:c r="O51" s="19" t="str">
        <x:v>National Academies framing for team-based diagnostic work.</x:v>
      </x:c>
      <x:c r="P51" s="19" t="str"/>
      <x:c r="Q51" s="19" t="str"/>
      <x:c r="R51" s="19" t="str"/>
      <x:c r="S51" s="19" t="str">
        <x:v>high</x:v>
      </x:c>
      <x:c r="T51" s="19" t="str">
        <x:v>02_extracted_evidence/facts.csv</x:v>
      </x:c>
      <x:c r="U51" s="19" t="str">
        <x:v>research_evidence_package_clinician_side_diagnostic_pain_points_2026-05-30.tar.gz::02_extracted_evidence/facts.csv::F002</x:v>
      </x:c>
    </x:row>
    <x:row r="52">
      <x:c r="A52" s="19" t="str">
        <x:v>D_clinician</x:v>
      </x:c>
      <x:c r="B52" s="19" t="str">
        <x:v>research_evidence_package_clinician_side_diagnostic_pain_points_2026-05-30.tar.gz</x:v>
      </x:c>
      <x:c r="C52" s="19" t="str">
        <x:v>Research D / clinician-side diagnostic pain points</x:v>
      </x:c>
      <x:c r="D52" s="19" t="str">
        <x:v>fact</x:v>
      </x:c>
      <x:c r="E52" s="19" t="str">
        <x:v>F003</x:v>
      </x:c>
      <x:c r="F52" s="19" t="str">
        <x:v>S003</x:v>
      </x:c>
      <x:c r="G52" s="19" t="str">
        <x:v>Core Elements of Hospital Diagnostic Excellence</x:v>
      </x:c>
      <x:c r="H52" s="19" t="str">
        <x:v>https://www.cdc.gov/patient-safety/hcp/hospital-dx-excellence/index.html</x:v>
      </x:c>
      <x:c r="I52" s="19" t="str">
        <x:v>United States</x:v>
      </x:c>
      <x:c r="J52" s="19" t="str">
        <x:v>hospital / acute care</x:v>
      </x:c>
      <x:c r="K52" s="19" t="str">
        <x:v>diagnostic excellence</x:v>
      </x:c>
      <x:c r="L52" s="19" t="str"/>
      <x:c r="M52" s="19" t="str">
        <x:v>diagnostic excellence</x:v>
      </x:c>
      <x:c r="N52" s="19" t="str">
        <x:v>CDC diagnostic-excellence framework includes ordering, interpreting, communicating, and acting on diagnostic tests.</x:v>
      </x:c>
      <x:c r="O52" s="19" t="str">
        <x:v>Hospital diagnostic-excellence program design.</x:v>
      </x:c>
      <x:c r="P52" s="19" t="str"/>
      <x:c r="Q52" s="19" t="str"/>
      <x:c r="R52" s="19" t="str"/>
      <x:c r="S52" s="19" t="str">
        <x:v>high</x:v>
      </x:c>
      <x:c r="T52" s="19" t="str">
        <x:v>02_extracted_evidence/facts.csv</x:v>
      </x:c>
      <x:c r="U52" s="19" t="str">
        <x:v>research_evidence_package_clinician_side_diagnostic_pain_points_2026-05-30.tar.gz::02_extracted_evidence/facts.csv::F003</x:v>
      </x:c>
    </x:row>
    <x:row r="53">
      <x:c r="A53" s="19" t="str">
        <x:v>D_clinician</x:v>
      </x:c>
      <x:c r="B53" s="19" t="str">
        <x:v>research_evidence_package_clinician_side_diagnostic_pain_points_2026-05-30.tar.gz</x:v>
      </x:c>
      <x:c r="C53" s="19" t="str">
        <x:v>Research D / clinician-side diagnostic pain points</x:v>
      </x:c>
      <x:c r="D53" s="19" t="str">
        <x:v>fact</x:v>
      </x:c>
      <x:c r="E53" s="19" t="str">
        <x:v>F004</x:v>
      </x:c>
      <x:c r="F53" s="19" t="str">
        <x:v>S005</x:v>
      </x:c>
      <x:c r="G53" s="19" t="str">
        <x:v>Information Overload and Missed Test Results in Electronic Health Record-Based Settings</x:v>
      </x:c>
      <x:c r="H53" s="19" t="str">
        <x:v>https://jamanetwork.com/journals/jamainternalmedicine/fullarticle/1657753</x:v>
      </x:c>
      <x:c r="I53" s="19" t="str">
        <x:v>United States</x:v>
      </x:c>
      <x:c r="J53" s="19" t="str">
        <x:v>VA primary care</x:v>
      </x:c>
      <x:c r="K53" s="19" t="str">
        <x:v>alert fatigue</x:v>
      </x:c>
      <x:c r="L53" s="19" t="str"/>
      <x:c r="M53" s="19" t="str">
        <x:v>alert fatigue</x:v>
      </x:c>
      <x:c r="N53" s="19" t="str">
        <x:v>VA primary care practitioners in the survey reported a median of 63 EHR alerts per day.</x:v>
      </x:c>
      <x:c r="O53" s="19" t="str">
        <x:v>Metric reported in completed research as an alert-load anchor.</x:v>
      </x:c>
      <x:c r="P53" s="19" t="str"/>
      <x:c r="Q53" s="19" t="str"/>
      <x:c r="R53" s="19" t="str"/>
      <x:c r="S53" s="19" t="str">
        <x:v>high</x:v>
      </x:c>
      <x:c r="T53" s="19" t="str">
        <x:v>02_extracted_evidence/facts.csv</x:v>
      </x:c>
      <x:c r="U53" s="19" t="str">
        <x:v>research_evidence_package_clinician_side_diagnostic_pain_points_2026-05-30.tar.gz::02_extracted_evidence/facts.csv::F004</x:v>
      </x:c>
    </x:row>
    <x:row r="54">
      <x:c r="A54" s="19" t="str">
        <x:v>D_clinician</x:v>
      </x:c>
      <x:c r="B54" s="19" t="str">
        <x:v>research_evidence_package_clinician_side_diagnostic_pain_points_2026-05-30.tar.gz</x:v>
      </x:c>
      <x:c r="C54" s="19" t="str">
        <x:v>Research D / clinician-side diagnostic pain points</x:v>
      </x:c>
      <x:c r="D54" s="19" t="str">
        <x:v>fact</x:v>
      </x:c>
      <x:c r="E54" s="19" t="str">
        <x:v>F005</x:v>
      </x:c>
      <x:c r="F54" s="19" t="str">
        <x:v>S005</x:v>
      </x:c>
      <x:c r="G54" s="19" t="str">
        <x:v>Information Overload and Missed Test Results in Electronic Health Record-Based Settings</x:v>
      </x:c>
      <x:c r="H54" s="19" t="str">
        <x:v>https://jamanetwork.com/journals/jamainternalmedicine/fullarticle/1657753</x:v>
      </x:c>
      <x:c r="I54" s="19" t="str">
        <x:v>United States</x:v>
      </x:c>
      <x:c r="J54" s="19" t="str">
        <x:v>VA primary care</x:v>
      </x:c>
      <x:c r="K54" s="19" t="str">
        <x:v>alert fatigue</x:v>
      </x:c>
      <x:c r="L54" s="19" t="str"/>
      <x:c r="M54" s="19" t="str">
        <x:v>alert fatigue</x:v>
      </x:c>
      <x:c r="N54" s="19" t="str">
        <x:v>55.6% of VA PCPs in the survey said the EHR notification system made it possible to miss test results.</x:v>
      </x:c>
      <x:c r="O54" s="19" t="str">
        <x:v>Metric reported in completed research as a clinician-perceived safety risk.</x:v>
      </x:c>
      <x:c r="P54" s="19" t="str"/>
      <x:c r="Q54" s="19" t="str"/>
      <x:c r="R54" s="19" t="str"/>
      <x:c r="S54" s="19" t="str">
        <x:v>high</x:v>
      </x:c>
      <x:c r="T54" s="19" t="str">
        <x:v>02_extracted_evidence/facts.csv</x:v>
      </x:c>
      <x:c r="U54" s="19" t="str">
        <x:v>research_evidence_package_clinician_side_diagnostic_pain_points_2026-05-30.tar.gz::02_extracted_evidence/facts.csv::F005</x:v>
      </x:c>
    </x:row>
    <x:row r="55">
      <x:c r="A55" s="19" t="str">
        <x:v>D_clinician</x:v>
      </x:c>
      <x:c r="B55" s="19" t="str">
        <x:v>research_evidence_package_clinician_side_diagnostic_pain_points_2026-05-30.tar.gz</x:v>
      </x:c>
      <x:c r="C55" s="19" t="str">
        <x:v>Research D / clinician-side diagnostic pain points</x:v>
      </x:c>
      <x:c r="D55" s="19" t="str">
        <x:v>fact</x:v>
      </x:c>
      <x:c r="E55" s="19" t="str">
        <x:v>F006</x:v>
      </x:c>
      <x:c r="F55" s="19" t="str">
        <x:v>S005</x:v>
      </x:c>
      <x:c r="G55" s="19" t="str">
        <x:v>Information Overload and Missed Test Results in Electronic Health Record-Based Settings</x:v>
      </x:c>
      <x:c r="H55" s="19" t="str">
        <x:v>https://jamanetwork.com/journals/jamainternalmedicine/fullarticle/1657753</x:v>
      </x:c>
      <x:c r="I55" s="19" t="str">
        <x:v>United States</x:v>
      </x:c>
      <x:c r="J55" s="19" t="str">
        <x:v>VA primary care</x:v>
      </x:c>
      <x:c r="K55" s="19" t="str">
        <x:v>missed abnormal results</x:v>
      </x:c>
      <x:c r="L55" s="19" t="str"/>
      <x:c r="M55" s="19" t="str">
        <x:v>missed abnormal results</x:v>
      </x:c>
      <x:c r="N55" s="19" t="str">
        <x:v>29.8% of surveyed VA PCPs reported personally missing abnormal lab/imaging results that delayed care.</x:v>
      </x:c>
      <x:c r="O55" s="19" t="str">
        <x:v>Metric reported in completed research.</x:v>
      </x:c>
      <x:c r="P55" s="19" t="str"/>
      <x:c r="Q55" s="19" t="str"/>
      <x:c r="R55" s="19" t="str"/>
      <x:c r="S55" s="19" t="str">
        <x:v>high</x:v>
      </x:c>
      <x:c r="T55" s="19" t="str">
        <x:v>02_extracted_evidence/facts.csv</x:v>
      </x:c>
      <x:c r="U55" s="19" t="str">
        <x:v>research_evidence_package_clinician_side_diagnostic_pain_points_2026-05-30.tar.gz::02_extracted_evidence/facts.csv::F006</x:v>
      </x:c>
    </x:row>
    <x:row r="56">
      <x:c r="A56" s="19" t="str">
        <x:v>D_clinician</x:v>
      </x:c>
      <x:c r="B56" s="19" t="str">
        <x:v>research_evidence_package_clinician_side_diagnostic_pain_points_2026-05-30.tar.gz</x:v>
      </x:c>
      <x:c r="C56" s="19" t="str">
        <x:v>Research D / clinician-side diagnostic pain points</x:v>
      </x:c>
      <x:c r="D56" s="19" t="str">
        <x:v>fact</x:v>
      </x:c>
      <x:c r="E56" s="19" t="str">
        <x:v>F007</x:v>
      </x:c>
      <x:c r="F56" s="19" t="str">
        <x:v>S007</x:v>
      </x:c>
      <x:c r="G56" s="19" t="str">
        <x:v>Time Pressure During Primary Care Office Visits</x:v>
      </x:c>
      <x:c r="H56" s="19" t="str">
        <x:v>https://link.springer.com/article/10.1007/s11606-019-05343-6</x:v>
      </x:c>
      <x:c r="I56" s="19" t="str">
        <x:v>United States</x:v>
      </x:c>
      <x:c r="J56" s="19" t="str">
        <x:v>primary care</x:v>
      </x:c>
      <x:c r="K56" s="19" t="str">
        <x:v>time pressure</x:v>
      </x:c>
      <x:c r="L56" s="19" t="str"/>
      <x:c r="M56" s="19" t="str">
        <x:v>time pressure</x:v>
      </x:c>
      <x:c r="N56" s="19" t="str">
        <x:v>67% of clinicians in the time-pressure study needed more time for new patients and 53% for follow-ups.</x:v>
      </x:c>
      <x:c r="O56" s="19" t="str">
        <x:v>Metric reported in completed research.</x:v>
      </x:c>
      <x:c r="P56" s="19" t="str"/>
      <x:c r="Q56" s="19" t="str"/>
      <x:c r="R56" s="19" t="str"/>
      <x:c r="S56" s="19" t="str">
        <x:v>high</x:v>
      </x:c>
      <x:c r="T56" s="19" t="str">
        <x:v>02_extracted_evidence/facts.csv</x:v>
      </x:c>
      <x:c r="U56" s="19" t="str">
        <x:v>research_evidence_package_clinician_side_diagnostic_pain_points_2026-05-30.tar.gz::02_extracted_evidence/facts.csv::F007</x:v>
      </x:c>
    </x:row>
    <x:row r="57">
      <x:c r="A57" s="19" t="str">
        <x:v>D_clinician</x:v>
      </x:c>
      <x:c r="B57" s="19" t="str">
        <x:v>research_evidence_package_clinician_side_diagnostic_pain_points_2026-05-30.tar.gz</x:v>
      </x:c>
      <x:c r="C57" s="19" t="str">
        <x:v>Research D / clinician-side diagnostic pain points</x:v>
      </x:c>
      <x:c r="D57" s="19" t="str">
        <x:v>fact</x:v>
      </x:c>
      <x:c r="E57" s="19" t="str">
        <x:v>F008</x:v>
      </x:c>
      <x:c r="F57" s="19" t="str">
        <x:v>S009</x:v>
      </x:c>
      <x:c r="G57" s="19" t="str">
        <x:v>Continuity of care: delayed diagnosis in GP practices</x:v>
      </x:c>
      <x:c r="H57" s="19" t="str">
        <x:v>https://www.hssib.org.uk/patient-safety-investigations/continuity-of-care-delayed-diagnosis-in-gp-practices/</x:v>
      </x:c>
      <x:c r="I57" s="19" t="str">
        <x:v>England</x:v>
      </x:c>
      <x:c r="J57" s="19" t="str">
        <x:v>general practice / ED / oncology</x:v>
      </x:c>
      <x:c r="K57" s="19" t="str">
        <x:v>continuity failure</x:v>
      </x:c>
      <x:c r="L57" s="19" t="str"/>
      <x:c r="M57" s="19" t="str">
        <x:v>continuity failure</x:v>
      </x:c>
      <x:c r="N57" s="19" t="str">
        <x:v>The HSSIB Brian case involved an eight-month delay before diagnosis of spinal metastatic cancer.</x:v>
      </x:c>
      <x:c r="O57" s="19" t="str">
        <x:v>Case timeline from official safety investigation.</x:v>
      </x:c>
      <x:c r="P57" s="19" t="str"/>
      <x:c r="Q57" s="19" t="str"/>
      <x:c r="R57" s="19" t="str"/>
      <x:c r="S57" s="19" t="str">
        <x:v>high</x:v>
      </x:c>
      <x:c r="T57" s="19" t="str">
        <x:v>02_extracted_evidence/facts.csv</x:v>
      </x:c>
      <x:c r="U57" s="19" t="str">
        <x:v>research_evidence_package_clinician_side_diagnostic_pain_points_2026-05-30.tar.gz::02_extracted_evidence/facts.csv::F008</x:v>
      </x:c>
    </x:row>
    <x:row r="58">
      <x:c r="A58" s="19" t="str">
        <x:v>D_clinician</x:v>
      </x:c>
      <x:c r="B58" s="19" t="str">
        <x:v>research_evidence_package_clinician_side_diagnostic_pain_points_2026-05-30.tar.gz</x:v>
      </x:c>
      <x:c r="C58" s="19" t="str">
        <x:v>Research D / clinician-side diagnostic pain points</x:v>
      </x:c>
      <x:c r="D58" s="19" t="str">
        <x:v>fact</x:v>
      </x:c>
      <x:c r="E58" s="19" t="str">
        <x:v>F009</x:v>
      </x:c>
      <x:c r="F58" s="19" t="str">
        <x:v>S012</x:v>
      </x:c>
      <x:c r="G58" s="19" t="str">
        <x:v>Diagnostic Errors in the Emergency Department: A Systematic Review</x:v>
      </x:c>
      <x:c r="H58" s="19" t="str">
        <x:v>https://www.ncbi.nlm.nih.gov/sites/books/NBK588118/</x:v>
      </x:c>
      <x:c r="I58" s="19" t="str">
        <x:v>Mostly United States</x:v>
      </x:c>
      <x:c r="J58" s="19" t="str">
        <x:v>emergency department</x:v>
      </x:c>
      <x:c r="K58" s="19" t="str">
        <x:v>ED diagnostic error</x:v>
      </x:c>
      <x:c r="L58" s="19" t="str"/>
      <x:c r="M58" s="19" t="str">
        <x:v>ED diagnostic error</x:v>
      </x:c>
      <x:c r="N58" s="19" t="str">
        <x:v>The AHRQ ED review found the top 15 conditions accounted for 68% of serious misdiagnosis-related harms.</x:v>
      </x:c>
      <x:c r="O58" s="19" t="str">
        <x:v>Metric reported in completed research.</x:v>
      </x:c>
      <x:c r="P58" s="19" t="str"/>
      <x:c r="Q58" s="19" t="str"/>
      <x:c r="R58" s="19" t="str"/>
      <x:c r="S58" s="19" t="str">
        <x:v>high</x:v>
      </x:c>
      <x:c r="T58" s="19" t="str">
        <x:v>02_extracted_evidence/facts.csv</x:v>
      </x:c>
      <x:c r="U58" s="19" t="str">
        <x:v>research_evidence_package_clinician_side_diagnostic_pain_points_2026-05-30.tar.gz::02_extracted_evidence/facts.csv::F009</x:v>
      </x:c>
    </x:row>
    <x:row r="59">
      <x:c r="A59" s="19" t="str">
        <x:v>D_clinician</x:v>
      </x:c>
      <x:c r="B59" s="19" t="str">
        <x:v>research_evidence_package_clinician_side_diagnostic_pain_points_2026-05-30.tar.gz</x:v>
      </x:c>
      <x:c r="C59" s="19" t="str">
        <x:v>Research D / clinician-side diagnostic pain points</x:v>
      </x:c>
      <x:c r="D59" s="19" t="str">
        <x:v>fact</x:v>
      </x:c>
      <x:c r="E59" s="19" t="str">
        <x:v>F010</x:v>
      </x:c>
      <x:c r="F59" s="19" t="str">
        <x:v>S016</x:v>
      </x:c>
      <x:c r="G59" s="19" t="str">
        <x:v>Closing the loop on diagnostic referrals</x:v>
      </x:c>
      <x:c r="H59" s="19" t="str">
        <x:v>https://bmjopenquality.bmj.com/content/10/4/e001603</x:v>
      </x:c>
      <x:c r="I59" s="19" t="str">
        <x:v>United States</x:v>
      </x:c>
      <x:c r="J59" s="19" t="str">
        <x:v>primary-specialty referrals</x:v>
      </x:c>
      <x:c r="K59" s="19" t="str">
        <x:v>referral loop failure</x:v>
      </x:c>
      <x:c r="L59" s="19" t="str"/>
      <x:c r="M59" s="19" t="str">
        <x:v>referral loop failure</x:v>
      </x:c>
      <x:c r="N59" s="19" t="str">
        <x:v>Closed-loop referral literature cited 65%–73% failure rates for diagnostic referrals.</x:v>
      </x:c>
      <x:c r="O59" s="19" t="str">
        <x:v>Metric reported in completed research.</x:v>
      </x:c>
      <x:c r="P59" s="19" t="str"/>
      <x:c r="Q59" s="19" t="str"/>
      <x:c r="R59" s="19" t="str"/>
      <x:c r="S59" s="19" t="str">
        <x:v>medium-high</x:v>
      </x:c>
      <x:c r="T59" s="19" t="str">
        <x:v>02_extracted_evidence/facts.csv</x:v>
      </x:c>
      <x:c r="U59" s="19" t="str">
        <x:v>research_evidence_package_clinician_side_diagnostic_pain_points_2026-05-30.tar.gz::02_extracted_evidence/facts.csv::F010</x:v>
      </x:c>
    </x:row>
    <x:row r="60">
      <x:c r="A60" s="19" t="str">
        <x:v>D_clinician</x:v>
      </x:c>
      <x:c r="B60" s="19" t="str">
        <x:v>research_evidence_package_clinician_side_diagnostic_pain_points_2026-05-30.tar.gz</x:v>
      </x:c>
      <x:c r="C60" s="19" t="str">
        <x:v>Research D / clinician-side diagnostic pain points</x:v>
      </x:c>
      <x:c r="D60" s="19" t="str">
        <x:v>fact</x:v>
      </x:c>
      <x:c r="E60" s="19" t="str">
        <x:v>F011</x:v>
      </x:c>
      <x:c r="F60" s="19" t="str">
        <x:v>S023</x:v>
      </x:c>
      <x:c r="G60" s="19" t="str">
        <x:v>Lancet Commission on diagnostics / diagnostic access gap</x:v>
      </x:c>
      <x:c r="H60" s="19" t="str">
        <x:v>https://pmc.ncbi.nlm.nih.gov/articles/PMC8654090/</x:v>
      </x:c>
      <x:c r="I60" s="19" t="str">
        <x:v>Global / LMIC</x:v>
      </x:c>
      <x:c r="J60" s="19" t="str">
        <x:v>low-resource care</x:v>
      </x:c>
      <x:c r="K60" s="19" t="str">
        <x:v>diagnostic access</x:v>
      </x:c>
      <x:c r="L60" s="19" t="str"/>
      <x:c r="M60" s="19" t="str">
        <x:v>diagnostic access</x:v>
      </x:c>
      <x:c r="N60" s="19" t="str">
        <x:v>The Lancet diagnostics source reported that 47% of the world has little or no access to diagnostics.</x:v>
      </x:c>
      <x:c r="O60" s="19" t="str">
        <x:v>Global diagnostic access gap.</x:v>
      </x:c>
      <x:c r="P60" s="19" t="str"/>
      <x:c r="Q60" s="19" t="str"/>
      <x:c r="R60" s="19" t="str"/>
      <x:c r="S60" s="19" t="str">
        <x:v>high</x:v>
      </x:c>
      <x:c r="T60" s="19" t="str">
        <x:v>02_extracted_evidence/facts.csv</x:v>
      </x:c>
      <x:c r="U60" s="19" t="str">
        <x:v>research_evidence_package_clinician_side_diagnostic_pain_points_2026-05-30.tar.gz::02_extracted_evidence/facts.csv::F011</x:v>
      </x:c>
    </x:row>
    <x:row r="61">
      <x:c r="A61" s="19" t="str">
        <x:v>D_clinician</x:v>
      </x:c>
      <x:c r="B61" s="19" t="str">
        <x:v>research_evidence_package_clinician_side_diagnostic_pain_points_2026-05-30.tar.gz</x:v>
      </x:c>
      <x:c r="C61" s="19" t="str">
        <x:v>Research D / clinician-side diagnostic pain points</x:v>
      </x:c>
      <x:c r="D61" s="19" t="str">
        <x:v>fact</x:v>
      </x:c>
      <x:c r="E61" s="19" t="str">
        <x:v>F012</x:v>
      </x:c>
      <x:c r="F61" s="19" t="str">
        <x:v>S023</x:v>
      </x:c>
      <x:c r="G61" s="19" t="str">
        <x:v>Lancet Commission on diagnostics / diagnostic access gap</x:v>
      </x:c>
      <x:c r="H61" s="19" t="str">
        <x:v>https://pmc.ncbi.nlm.nih.gov/articles/PMC8654090/</x:v>
      </x:c>
      <x:c r="I61" s="19" t="str">
        <x:v>Global / LMIC</x:v>
      </x:c>
      <x:c r="J61" s="19" t="str">
        <x:v>primary care</x:v>
      </x:c>
      <x:c r="K61" s="19" t="str">
        <x:v>diagnostic access</x:v>
      </x:c>
      <x:c r="L61" s="19" t="str"/>
      <x:c r="M61" s="19" t="str">
        <x:v>diagnostic access</x:v>
      </x:c>
      <x:c r="N61" s="19" t="str">
        <x:v>Only about 19% of low/lower-middle income populations have access to the most basic diagnostics at primary-care level.</x:v>
      </x:c>
      <x:c r="O61" s="19" t="str">
        <x:v>Global diagnostic access gap.</x:v>
      </x:c>
      <x:c r="P61" s="19" t="str"/>
      <x:c r="Q61" s="19" t="str"/>
      <x:c r="R61" s="19" t="str"/>
      <x:c r="S61" s="19" t="str">
        <x:v>high</x:v>
      </x:c>
      <x:c r="T61" s="19" t="str">
        <x:v>02_extracted_evidence/facts.csv</x:v>
      </x:c>
      <x:c r="U61" s="19" t="str">
        <x:v>research_evidence_package_clinician_side_diagnostic_pain_points_2026-05-30.tar.gz::02_extracted_evidence/facts.csv::F012</x:v>
      </x:c>
    </x:row>
    <x:row r="62">
      <x:c r="A62" s="19" t="str">
        <x:v>E_global</x:v>
      </x:c>
      <x:c r="B62" s="19" t="str">
        <x:v>research_evidence_package_global_health_issue_identification_2026-05-30.tar.gz</x:v>
      </x:c>
      <x:c r="C62" s="19" t="str">
        <x:v>Research E / global health issue identification</x:v>
      </x:c>
      <x:c r="D62" s="19" t="str">
        <x:v>evidence_item</x:v>
      </x:c>
      <x:c r="E62" s="19" t="str">
        <x:v>E001</x:v>
      </x:c>
      <x:c r="F62" s="19" t="str">
        <x:v>S001</x:v>
      </x:c>
      <x:c r="G62" s="19" t="str">
        <x:v>Improving Diagnosis in Health Care</x:v>
      </x:c>
      <x:c r="H62" s="19" t="str">
        <x:v>https://www.nationalacademies.org/projects/IOM-HCS-13-03/publication/21794</x:v>
      </x:c>
      <x:c r="I62" s="19" t="str">
        <x:v>US / generalizable</x:v>
      </x:c>
      <x:c r="J62" s="19" t="str">
        <x:v>all care settings</x:v>
      </x:c>
      <x:c r="K62" s="19" t="str">
        <x:v>varies</x:v>
      </x:c>
      <x:c r="L62" s="19" t="str">
        <x:v>health issue identification</x:v>
      </x:c>
      <x:c r="M62" s="19" t="str">
        <x:v>diagnostic safety</x:v>
      </x:c>
      <x:c r="N62" s="19" t="str">
        <x:v>Diagnosis is a complex collaborative process involving patients, families, clinicians, systems, and tools.</x:v>
      </x:c>
      <x:c r="O62" s="19" t="str">
        <x:v>Used as conceptual anchor for global diagnostic workflows.</x:v>
      </x:c>
      <x:c r="P62" s="19" t="str">
        <x:v>unknown</x:v>
      </x:c>
      <x:c r="Q62" s="19" t="str"/>
      <x:c r="R62" s="19" t="str">
        <x:v>See implications files for product mapping.</x:v>
      </x:c>
      <x:c r="S62" s="19" t="str">
        <x:v>high</x:v>
      </x:c>
      <x:c r="T62" s="19" t="str">
        <x:v>02_extracted_evidence/evidence_items.csv</x:v>
      </x:c>
      <x:c r="U62" s="19" t="str">
        <x:v>research_evidence_package_global_health_issue_identification_2026-05-30.tar.gz::02_extracted_evidence/evidence_items.csv::E001</x:v>
      </x:c>
    </x:row>
    <x:row r="63">
      <x:c r="A63" s="19" t="str">
        <x:v>E_global</x:v>
      </x:c>
      <x:c r="B63" s="19" t="str">
        <x:v>research_evidence_package_global_health_issue_identification_2026-05-30.tar.gz</x:v>
      </x:c>
      <x:c r="C63" s="19" t="str">
        <x:v>Research E / global health issue identification</x:v>
      </x:c>
      <x:c r="D63" s="19" t="str">
        <x:v>evidence_item</x:v>
      </x:c>
      <x:c r="E63" s="19" t="str">
        <x:v>E002</x:v>
      </x:c>
      <x:c r="F63" s="19" t="str">
        <x:v>S002</x:v>
      </x:c>
      <x:c r="G63" s="19" t="str">
        <x:v>The Economics of Diagnostic Safety</x:v>
      </x:c>
      <x:c r="H63" s="19" t="str">
        <x:v>https://www.oecd.org/en/publications/the-economics-of-diagnostic-safety_fc61057a-en.html</x:v>
      </x:c>
      <x:c r="I63" s="19" t="str">
        <x:v>OECD countries</x:v>
      </x:c>
      <x:c r="J63" s="19" t="str">
        <x:v>all care settings</x:v>
      </x:c>
      <x:c r="K63" s="19" t="str">
        <x:v>varies</x:v>
      </x:c>
      <x:c r="L63" s="19" t="str">
        <x:v>health issue identification</x:v>
      </x:c>
      <x:c r="M63" s="19" t="str">
        <x:v>diagnostic safety metric</x:v>
      </x:c>
      <x:c r="N63" s="19" t="str">
        <x:v>OECD report estimates that up to 15% of diagnoses in OECD countries may be inaccurate, delayed, or wrong.</x:v>
      </x:c>
      <x:c r="O63" s="19" t="str">
        <x:v>Used to frame diagnostic safety as a high-income-system issue too.</x:v>
      </x:c>
      <x:c r="P63" s="19" t="str">
        <x:v>unknown</x:v>
      </x:c>
      <x:c r="Q63" s="19" t="str"/>
      <x:c r="R63" s="19" t="str">
        <x:v>See implications files for product mapping.</x:v>
      </x:c>
      <x:c r="S63" s="19" t="str">
        <x:v>high</x:v>
      </x:c>
      <x:c r="T63" s="19" t="str">
        <x:v>02_extracted_evidence/evidence_items.csv</x:v>
      </x:c>
      <x:c r="U63" s="19" t="str">
        <x:v>research_evidence_package_global_health_issue_identification_2026-05-30.tar.gz::02_extracted_evidence/evidence_items.csv::E002</x:v>
      </x:c>
    </x:row>
    <x:row r="64">
      <x:c r="A64" s="19" t="str">
        <x:v>E_global</x:v>
      </x:c>
      <x:c r="B64" s="19" t="str">
        <x:v>research_evidence_package_global_health_issue_identification_2026-05-30.tar.gz</x:v>
      </x:c>
      <x:c r="C64" s="19" t="str">
        <x:v>Research E / global health issue identification</x:v>
      </x:c>
      <x:c r="D64" s="19" t="str">
        <x:v>evidence_item</x:v>
      </x:c>
      <x:c r="E64" s="19" t="str">
        <x:v>E003</x:v>
      </x:c>
      <x:c r="F64" s="19" t="str">
        <x:v>S003</x:v>
      </x:c>
      <x:c r="G64" s="19" t="str">
        <x:v>Diagnostic Safety and Quality</x:v>
      </x:c>
      <x:c r="H64" s="19" t="str">
        <x:v>https://www.ahrq.gov/diagnostic-safety/index.html</x:v>
      </x:c>
      <x:c r="I64" s="19" t="str">
        <x:v>US</x:v>
      </x:c>
      <x:c r="J64" s="19" t="str">
        <x:v>all care settings</x:v>
      </x:c>
      <x:c r="K64" s="19" t="str">
        <x:v>varies</x:v>
      </x:c>
      <x:c r="L64" s="19" t="str">
        <x:v>health issue identification</x:v>
      </x:c>
      <x:c r="M64" s="19" t="str">
        <x:v>diagnostic harm burden</x:v>
      </x:c>
      <x:c r="N64" s="19" t="str">
        <x:v>AHRQ reports an estimate of 795,000 Americans annually dying or becoming permanently disabled from disease misdiagnosis.</x:v>
      </x:c>
      <x:c r="O64" s="19" t="str">
        <x:v>Used as US burden metric.</x:v>
      </x:c>
      <x:c r="P64" s="19" t="str">
        <x:v>unknown</x:v>
      </x:c>
      <x:c r="Q64" s="19" t="str"/>
      <x:c r="R64" s="19" t="str">
        <x:v>See implications files for product mapping.</x:v>
      </x:c>
      <x:c r="S64" s="19" t="str">
        <x:v>high</x:v>
      </x:c>
      <x:c r="T64" s="19" t="str">
        <x:v>02_extracted_evidence/evidence_items.csv</x:v>
      </x:c>
      <x:c r="U64" s="19" t="str">
        <x:v>research_evidence_package_global_health_issue_identification_2026-05-30.tar.gz::02_extracted_evidence/evidence_items.csv::E003</x:v>
      </x:c>
    </x:row>
    <x:row r="65">
      <x:c r="A65" s="19" t="str">
        <x:v>E_global</x:v>
      </x:c>
      <x:c r="B65" s="19" t="str">
        <x:v>research_evidence_package_global_health_issue_identification_2026-05-30.tar.gz</x:v>
      </x:c>
      <x:c r="C65" s="19" t="str">
        <x:v>Research E / global health issue identification</x:v>
      </x:c>
      <x:c r="D65" s="19" t="str">
        <x:v>evidence_item</x:v>
      </x:c>
      <x:c r="E65" s="19" t="str">
        <x:v>E004</x:v>
      </x:c>
      <x:c r="F65" s="19" t="str">
        <x:v>S004</x:v>
      </x:c>
      <x:c r="G65" s="19" t="str">
        <x:v>Diagnostic Errors in the Emergency Department: A Systematic Review</x:v>
      </x:c>
      <x:c r="H65" s="19" t="str">
        <x:v>https://psnet.ahrq.gov/issue/diagnostic-errors-emergency-department-systematic-review?utm_source=chatgpt.com</x:v>
      </x:c>
      <x:c r="I65" s="19" t="str">
        <x:v>US</x:v>
      </x:c>
      <x:c r="J65" s="19" t="str">
        <x:v>emergency department</x:v>
      </x:c>
      <x:c r="K65" s="19" t="str">
        <x:v>varies</x:v>
      </x:c>
      <x:c r="L65" s="19" t="str">
        <x:v>health issue identification</x:v>
      </x:c>
      <x:c r="M65" s="19" t="str">
        <x:v>ED diagnostic error</x:v>
      </x:c>
      <x:c r="N65" s="19" t="str">
        <x:v>AHRQ PSNet ED review summary estimated roughly 1 in 18 ED patients receive an incorrect diagnosis.</x:v>
      </x:c>
      <x:c r="O65" s="19" t="str">
        <x:v>Emergency department diagnostic safety metric.</x:v>
      </x:c>
      <x:c r="P65" s="19" t="str">
        <x:v>unknown</x:v>
      </x:c>
      <x:c r="Q65" s="19" t="str"/>
      <x:c r="R65" s="19" t="str">
        <x:v>See implications files for product mapping.</x:v>
      </x:c>
      <x:c r="S65" s="19" t="str">
        <x:v>high</x:v>
      </x:c>
      <x:c r="T65" s="19" t="str">
        <x:v>02_extracted_evidence/evidence_items.csv</x:v>
      </x:c>
      <x:c r="U65" s="19" t="str">
        <x:v>research_evidence_package_global_health_issue_identification_2026-05-30.tar.gz::02_extracted_evidence/evidence_items.csv::E004</x:v>
      </x:c>
    </x:row>
    <x:row r="66">
      <x:c r="A66" s="19" t="str">
        <x:v>E_global</x:v>
      </x:c>
      <x:c r="B66" s="19" t="str">
        <x:v>research_evidence_package_global_health_issue_identification_2026-05-30.tar.gz</x:v>
      </x:c>
      <x:c r="C66" s="19" t="str">
        <x:v>Research E / global health issue identification</x:v>
      </x:c>
      <x:c r="D66" s="19" t="str">
        <x:v>evidence_item</x:v>
      </x:c>
      <x:c r="E66" s="19" t="str">
        <x:v>E005</x:v>
      </x:c>
      <x:c r="F66" s="19" t="str">
        <x:v>S005</x:v>
      </x:c>
      <x:c r="G66" s="19" t="str">
        <x:v>Continuity of care: delayed diagnosis in GP practices</x:v>
      </x:c>
      <x:c r="H66" s="19" t="str">
        <x:v>https://www.hssib.org.uk/patient-safety-investigations/continuity-of-care-delayed-diagnosis-in-gp-practices/investigation-report/</x:v>
      </x:c>
      <x:c r="I66" s="19" t="str">
        <x:v>England</x:v>
      </x:c>
      <x:c r="J66" s="19" t="str">
        <x:v>primary care / GP</x:v>
      </x:c>
      <x:c r="K66" s="19" t="str">
        <x:v>varies</x:v>
      </x:c>
      <x:c r="L66" s="19" t="str">
        <x:v>health issue identification</x:v>
      </x:c>
      <x:c r="M66" s="19" t="str">
        <x:v>continuity failure</x:v>
      </x:c>
      <x:c r="N66" s="19" t="str">
        <x:v>HSSIB found GP systems did not reliably surface unresolved symptoms or repeated visits across different clinicians.</x:v>
      </x:c>
      <x:c r="O66" s="19" t="str">
        <x:v>Used for UK GP continuity black zone.</x:v>
      </x:c>
      <x:c r="P66" s="19" t="str">
        <x:v>unknown</x:v>
      </x:c>
      <x:c r="Q66" s="19" t="str"/>
      <x:c r="R66" s="19" t="str">
        <x:v>See implications files for product mapping.</x:v>
      </x:c>
      <x:c r="S66" s="19" t="str">
        <x:v>high</x:v>
      </x:c>
      <x:c r="T66" s="19" t="str">
        <x:v>02_extracted_evidence/evidence_items.csv</x:v>
      </x:c>
      <x:c r="U66" s="19" t="str">
        <x:v>research_evidence_package_global_health_issue_identification_2026-05-30.tar.gz::02_extracted_evidence/evidence_items.csv::E005</x:v>
      </x:c>
    </x:row>
    <x:row r="67">
      <x:c r="A67" s="19" t="str">
        <x:v>E_global</x:v>
      </x:c>
      <x:c r="B67" s="19" t="str">
        <x:v>research_evidence_package_global_health_issue_identification_2026-05-30.tar.gz</x:v>
      </x:c>
      <x:c r="C67" s="19" t="str">
        <x:v>Research E / global health issue identification</x:v>
      </x:c>
      <x:c r="D67" s="19" t="str">
        <x:v>evidence_item</x:v>
      </x:c>
      <x:c r="E67" s="19" t="str">
        <x:v>E006</x:v>
      </x:c>
      <x:c r="F67" s="19" t="str">
        <x:v>S006</x:v>
      </x:c>
      <x:c r="G67" s="19" t="str">
        <x:v>Patients being harmed due to repeated mistakes reading scans</x:v>
      </x:c>
      <x:c r="H67" s="19" t="str">
        <x:v>https://www.ombudsman.org.uk/news-and-blog/news/patients-being-harmed-due-repeated-mistakes-reading-scans</x:v>
      </x:c>
      <x:c r="I67" s="19" t="str">
        <x:v>UK</x:v>
      </x:c>
      <x:c r="J67" s="19" t="str">
        <x:v>imaging / hospital</x:v>
      </x:c>
      <x:c r="K67" s="19" t="str">
        <x:v>varies</x:v>
      </x:c>
      <x:c r="L67" s="19" t="str">
        <x:v>health issue identification</x:v>
      </x:c>
      <x:c r="M67" s="19" t="str">
        <x:v>diagnostic result follow-up</x:v>
      </x:c>
      <x:c r="N67" s="19" t="str">
        <x:v>UK ombudsman identified repeated scan-reading and scan-follow-up failures, including abnormality not identified and results not properly followed up.</x:v>
      </x:c>
      <x:c r="O67" s="19" t="str">
        <x:v>Used for abnormal-result closure black zone.</x:v>
      </x:c>
      <x:c r="P67" s="19" t="str">
        <x:v>unknown</x:v>
      </x:c>
      <x:c r="Q67" s="19" t="str"/>
      <x:c r="R67" s="19" t="str">
        <x:v>See implications files for product mapping.</x:v>
      </x:c>
      <x:c r="S67" s="19" t="str">
        <x:v>high</x:v>
      </x:c>
      <x:c r="T67" s="19" t="str">
        <x:v>02_extracted_evidence/evidence_items.csv</x:v>
      </x:c>
      <x:c r="U67" s="19" t="str">
        <x:v>research_evidence_package_global_health_issue_identification_2026-05-30.tar.gz::02_extracted_evidence/evidence_items.csv::E006</x:v>
      </x:c>
    </x:row>
    <x:row r="68">
      <x:c r="A68" s="19" t="str">
        <x:v>E_global</x:v>
      </x:c>
      <x:c r="B68" s="19" t="str">
        <x:v>research_evidence_package_global_health_issue_identification_2026-05-30.tar.gz</x:v>
      </x:c>
      <x:c r="C68" s="19" t="str">
        <x:v>Research E / global health issue identification</x:v>
      </x:c>
      <x:c r="D68" s="19" t="str">
        <x:v>evidence_item</x:v>
      </x:c>
      <x:c r="E68" s="19" t="str">
        <x:v>E007</x:v>
      </x:c>
      <x:c r="F68" s="19" t="str">
        <x:v>S008</x:v>
      </x:c>
      <x:c r="G68" s="19" t="str">
        <x:v>International Health Care System Profiles: Israel</x:v>
      </x:c>
      <x:c r="H68" s="19" t="str">
        <x:v>https://www.commonwealthfund.org/international-health-policy-center/countries/israel</x:v>
      </x:c>
      <x:c r="I68" s="19" t="str">
        <x:v>Israel</x:v>
      </x:c>
      <x:c r="J68" s="19" t="str">
        <x:v>primary care / specialist care</x:v>
      </x:c>
      <x:c r="K68" s="19" t="str">
        <x:v>varies</x:v>
      </x:c>
      <x:c r="L68" s="19" t="str">
        <x:v>health issue identification</x:v>
      </x:c>
      <x:c r="M68" s="19" t="str">
        <x:v>health-system structure</x:v>
      </x:c>
      <x:c r="N68" s="19" t="str">
        <x:v>Israel has universal NHI coverage through four competing nonprofit health plans with strong health-plan EHR integration.</x:v>
      </x:c>
      <x:c r="O68" s="19" t="str">
        <x:v>Used for Israel integrated health-plan model.</x:v>
      </x:c>
      <x:c r="P68" s="19" t="str">
        <x:v>unknown</x:v>
      </x:c>
      <x:c r="Q68" s="19" t="str"/>
      <x:c r="R68" s="19" t="str">
        <x:v>See implications files for product mapping.</x:v>
      </x:c>
      <x:c r="S68" s="19" t="str">
        <x:v>high</x:v>
      </x:c>
      <x:c r="T68" s="19" t="str">
        <x:v>02_extracted_evidence/evidence_items.csv</x:v>
      </x:c>
      <x:c r="U68" s="19" t="str">
        <x:v>research_evidence_package_global_health_issue_identification_2026-05-30.tar.gz::02_extracted_evidence/evidence_items.csv::E007</x:v>
      </x:c>
    </x:row>
    <x:row r="69">
      <x:c r="A69" s="19" t="str">
        <x:v>E_global</x:v>
      </x:c>
      <x:c r="B69" s="19" t="str">
        <x:v>research_evidence_package_global_health_issue_identification_2026-05-30.tar.gz</x:v>
      </x:c>
      <x:c r="C69" s="19" t="str">
        <x:v>Research E / global health issue identification</x:v>
      </x:c>
      <x:c r="D69" s="19" t="str">
        <x:v>evidence_item</x:v>
      </x:c>
      <x:c r="E69" s="19" t="str">
        <x:v>E008</x:v>
      </x:c>
      <x:c r="F69" s="19" t="str">
        <x:v>S010</x:v>
      </x:c>
      <x:c r="G69" s="19" t="str">
        <x:v>Healthcare access and barriers among Bedouin communities in Israel</x:v>
      </x:c>
      <x:c r="H69" s="19" t="str">
        <x:v>https://link.springer.com/article/10.1186/s12939-025-02398-2</x:v>
      </x:c>
      <x:c r="I69" s="19" t="str">
        <x:v>Israel / Negev Bedouin</x:v>
      </x:c>
      <x:c r="J69" s="19" t="str">
        <x:v>community / primary care</x:v>
      </x:c>
      <x:c r="K69" s="19" t="str">
        <x:v>varies</x:v>
      </x:c>
      <x:c r="L69" s="19" t="str">
        <x:v>health issue identification</x:v>
      </x:c>
      <x:c r="M69" s="19" t="str">
        <x:v>underserved access</x:v>
      </x:c>
      <x:c r="N69" s="19" t="str">
        <x:v>Bedouin communities in Israel face physical access, health-literacy, language/cultural, and out-of-system continuity barriers.</x:v>
      </x:c>
      <x:c r="O69" s="19" t="str">
        <x:v>Used for underserved/periphery cultural access pattern.</x:v>
      </x:c>
      <x:c r="P69" s="19" t="str">
        <x:v>unknown</x:v>
      </x:c>
      <x:c r="Q69" s="19" t="str"/>
      <x:c r="R69" s="19" t="str">
        <x:v>See implications files for product mapping.</x:v>
      </x:c>
      <x:c r="S69" s="19" t="str">
        <x:v>medium</x:v>
      </x:c>
      <x:c r="T69" s="19" t="str">
        <x:v>02_extracted_evidence/evidence_items.csv</x:v>
      </x:c>
      <x:c r="U69" s="19" t="str">
        <x:v>research_evidence_package_global_health_issue_identification_2026-05-30.tar.gz::02_extracted_evidence/evidence_items.csv::E008</x:v>
      </x:c>
    </x:row>
    <x:row r="70">
      <x:c r="A70" s="19" t="str">
        <x:v>E_global</x:v>
      </x:c>
      <x:c r="B70" s="19" t="str">
        <x:v>research_evidence_package_global_health_issue_identification_2026-05-30.tar.gz</x:v>
      </x:c>
      <x:c r="C70" s="19" t="str">
        <x:v>Research E / global health issue identification</x:v>
      </x:c>
      <x:c r="D70" s="19" t="str">
        <x:v>evidence_item</x:v>
      </x:c>
      <x:c r="E70" s="19" t="str">
        <x:v>E009</x:v>
      </x:c>
      <x:c r="F70" s="19" t="str">
        <x:v>S011</x:v>
      </x:c>
      <x:c r="G70" s="19" t="str">
        <x:v>International Health Care System Profiles: India</x:v>
      </x:c>
      <x:c r="H70" s="19" t="str">
        <x:v>https://www.commonwealthfund.org/taxonomy/term/8</x:v>
      </x:c>
      <x:c r="I70" s="19" t="str">
        <x:v>India</x:v>
      </x:c>
      <x:c r="J70" s="19" t="str">
        <x:v>public/private care</x:v>
      </x:c>
      <x:c r="K70" s="19" t="str">
        <x:v>varies</x:v>
      </x:c>
      <x:c r="L70" s="19" t="str">
        <x:v>health issue identification</x:v>
      </x:c>
      <x:c r="M70" s="19" t="str">
        <x:v>fragmented care</x:v>
      </x:c>
      <x:c r="N70" s="19" t="str">
        <x:v>India has weak practical gatekeeping, a large public/private/informal ecosystem, slow EHR adoption, and no universal patient identifier.</x:v>
      </x:c>
      <x:c r="O70" s="19" t="str">
        <x:v>Used for India fragmented-care model.</x:v>
      </x:c>
      <x:c r="P70" s="19" t="str">
        <x:v>unknown</x:v>
      </x:c>
      <x:c r="Q70" s="19" t="str"/>
      <x:c r="R70" s="19" t="str">
        <x:v>See implications files for product mapping.</x:v>
      </x:c>
      <x:c r="S70" s="19" t="str">
        <x:v>high</x:v>
      </x:c>
      <x:c r="T70" s="19" t="str">
        <x:v>02_extracted_evidence/evidence_items.csv</x:v>
      </x:c>
      <x:c r="U70" s="19" t="str">
        <x:v>research_evidence_package_global_health_issue_identification_2026-05-30.tar.gz::02_extracted_evidence/evidence_items.csv::E009</x:v>
      </x:c>
    </x:row>
    <x:row r="71">
      <x:c r="A71" s="19" t="str">
        <x:v>E_global</x:v>
      </x:c>
      <x:c r="B71" s="19" t="str">
        <x:v>research_evidence_package_global_health_issue_identification_2026-05-30.tar.gz</x:v>
      </x:c>
      <x:c r="C71" s="19" t="str">
        <x:v>Research E / global health issue identification</x:v>
      </x:c>
      <x:c r="D71" s="19" t="str">
        <x:v>evidence_item</x:v>
      </x:c>
      <x:c r="E71" s="19" t="str">
        <x:v>E010</x:v>
      </x:c>
      <x:c r="F71" s="19" t="str">
        <x:v>S012</x:v>
      </x:c>
      <x:c r="G71" s="19" t="str">
        <x:v>Non-allopathic provider referral intervention for TB diagnosis</x:v>
      </x:c>
      <x:c r="H71" s="19" t="str">
        <x:v>https://journals.plos.org/globalpublichealth/article?id=10.1371%2Fjournal.pgph.0004416</x:v>
      </x:c>
      <x:c r="I71" s="19" t="str">
        <x:v>India</x:v>
      </x:c>
      <x:c r="J71" s="19" t="str">
        <x:v>community / TB pathway</x:v>
      </x:c>
      <x:c r="K71" s="19" t="str">
        <x:v>varies</x:v>
      </x:c>
      <x:c r="L71" s="19" t="str">
        <x:v>health issue identification</x:v>
      </x:c>
      <x:c r="M71" s="19" t="str">
        <x:v>TB diagnostic delay</x:v>
      </x:c>
      <x:c r="N71" s="19" t="str">
        <x:v>A referral and free chest-x-ray intervention involving non-allopathic providers reduced TB diagnostic delay by 8.6 days.</x:v>
      </x:c>
      <x:c r="O71" s="19" t="str">
        <x:v>Used as successful low-resource/community linkage example.</x:v>
      </x:c>
      <x:c r="P71" s="19" t="str">
        <x:v>unknown</x:v>
      </x:c>
      <x:c r="Q71" s="19" t="str"/>
      <x:c r="R71" s="19" t="str">
        <x:v>See implications files for product mapping.</x:v>
      </x:c>
      <x:c r="S71" s="19" t="str">
        <x:v>high</x:v>
      </x:c>
      <x:c r="T71" s="19" t="str">
        <x:v>02_extracted_evidence/evidence_items.csv</x:v>
      </x:c>
      <x:c r="U71" s="19" t="str">
        <x:v>research_evidence_package_global_health_issue_identification_2026-05-30.tar.gz::02_extracted_evidence/evidence_items.csv::E010</x:v>
      </x:c>
    </x:row>
    <x:row r="72">
      <x:c r="A72" s="19" t="str">
        <x:v>E_global</x:v>
      </x:c>
      <x:c r="B72" s="19" t="str">
        <x:v>research_evidence_package_global_health_issue_identification_2026-05-30.tar.gz</x:v>
      </x:c>
      <x:c r="C72" s="19" t="str">
        <x:v>Research E / global health issue identification</x:v>
      </x:c>
      <x:c r="D72" s="19" t="str">
        <x:v>evidence_item</x:v>
      </x:c>
      <x:c r="E72" s="19" t="str">
        <x:v>E011</x:v>
      </x:c>
      <x:c r="F72" s="19" t="str">
        <x:v>S014</x:v>
      </x:c>
      <x:c r="G72" s="19" t="str">
        <x:v>International Health Care System Profiles: China</x:v>
      </x:c>
      <x:c r="H72" s="19" t="str">
        <x:v>https://www.commonwealthfund.org/taxonomy/term/3</x:v>
      </x:c>
      <x:c r="I72" s="19" t="str">
        <x:v>China</x:v>
      </x:c>
      <x:c r="J72" s="19" t="str">
        <x:v>hospital outpatient / ED</x:v>
      </x:c>
      <x:c r="K72" s="19" t="str">
        <x:v>varies</x:v>
      </x:c>
      <x:c r="L72" s="19" t="str">
        <x:v>health issue identification</x:v>
      </x:c>
      <x:c r="M72" s="19" t="str">
        <x:v>open access / continuity</x:v>
      </x:c>
      <x:c r="N72" s="19" t="str">
        <x:v>China does not generally require referrals and ED information is not routinely sent to primary-care doctors.</x:v>
      </x:c>
      <x:c r="O72" s="19" t="str">
        <x:v>Used for open-access/hospital-first continuity risk.</x:v>
      </x:c>
      <x:c r="P72" s="19" t="str">
        <x:v>unknown</x:v>
      </x:c>
      <x:c r="Q72" s="19" t="str"/>
      <x:c r="R72" s="19" t="str">
        <x:v>See implications files for product mapping.</x:v>
      </x:c>
      <x:c r="S72" s="19" t="str">
        <x:v>high</x:v>
      </x:c>
      <x:c r="T72" s="19" t="str">
        <x:v>02_extracted_evidence/evidence_items.csv</x:v>
      </x:c>
      <x:c r="U72" s="19" t="str">
        <x:v>research_evidence_package_global_health_issue_identification_2026-05-30.tar.gz::02_extracted_evidence/evidence_items.csv::E011</x:v>
      </x:c>
    </x:row>
    <x:row r="73">
      <x:c r="A73" s="19" t="str">
        <x:v>E_global</x:v>
      </x:c>
      <x:c r="B73" s="19" t="str">
        <x:v>research_evidence_package_global_health_issue_identification_2026-05-30.tar.gz</x:v>
      </x:c>
      <x:c r="C73" s="19" t="str">
        <x:v>Research E / global health issue identification</x:v>
      </x:c>
      <x:c r="D73" s="19" t="str">
        <x:v>evidence_item</x:v>
      </x:c>
      <x:c r="E73" s="19" t="str">
        <x:v>E012</x:v>
      </x:c>
      <x:c r="F73" s="19" t="str">
        <x:v>S017</x:v>
      </x:c>
      <x:c r="G73" s="19" t="str">
        <x:v>International Health Care System Profiles: Brazil</x:v>
      </x:c>
      <x:c r="H73" s="19" t="str">
        <x:v>https://www.commonwealthfund.org/taxonomy/term/5436</x:v>
      </x:c>
      <x:c r="I73" s="19" t="str">
        <x:v>Brazil</x:v>
      </x:c>
      <x:c r="J73" s="19" t="str">
        <x:v>community health / referral</x:v>
      </x:c>
      <x:c r="K73" s="19" t="str">
        <x:v>varies</x:v>
      </x:c>
      <x:c r="L73" s="19" t="str">
        <x:v>health issue identification</x:v>
      </x:c>
      <x:c r="M73" s="19" t="str">
        <x:v>CHW / referral bottleneck</x:v>
      </x:c>
      <x:c r="N73" s="19" t="str">
        <x:v>Brazil Family Health Strategy teams cover defined households but specialty access remains a major bottleneck causing long queues and diagnostic delays.</x:v>
      </x:c>
      <x:c r="O73" s="19" t="str">
        <x:v>Used for CHW and referral bottleneck pattern.</x:v>
      </x:c>
      <x:c r="P73" s="19" t="str">
        <x:v>unknown</x:v>
      </x:c>
      <x:c r="Q73" s="19" t="str"/>
      <x:c r="R73" s="19" t="str">
        <x:v>See implications files for product mapping.</x:v>
      </x:c>
      <x:c r="S73" s="19" t="str">
        <x:v>high</x:v>
      </x:c>
      <x:c r="T73" s="19" t="str">
        <x:v>02_extracted_evidence/evidence_items.csv</x:v>
      </x:c>
      <x:c r="U73" s="19" t="str">
        <x:v>research_evidence_package_global_health_issue_identification_2026-05-30.tar.gz::02_extracted_evidence/evidence_items.csv::E012</x:v>
      </x:c>
    </x:row>
    <x:row r="74">
      <x:c r="A74" s="19" t="str">
        <x:v>E_global</x:v>
      </x:c>
      <x:c r="B74" s="19" t="str">
        <x:v>research_evidence_package_global_health_issue_identification_2026-05-30.tar.gz</x:v>
      </x:c>
      <x:c r="C74" s="19" t="str">
        <x:v>Research E / global health issue identification</x:v>
      </x:c>
      <x:c r="D74" s="19" t="str">
        <x:v>evidence_item</x:v>
      </x:c>
      <x:c r="E74" s="19" t="str">
        <x:v>E013</x:v>
      </x:c>
      <x:c r="F74" s="19" t="str">
        <x:v>S018</x:v>
      </x:c>
      <x:c r="G74" s="19" t="str">
        <x:v>Health Systems in Action: Mexico 2024</x:v>
      </x:c>
      <x:c r="H74" s="19" t="str">
        <x:v>https://eurohealthobservatory.who.int/publications/i/health-systems-in-action-2024-mexico</x:v>
      </x:c>
      <x:c r="I74" s="19" t="str">
        <x:v>Mexico</x:v>
      </x:c>
      <x:c r="J74" s="19" t="str">
        <x:v>public/private outpatient</x:v>
      </x:c>
      <x:c r="K74" s="19" t="str">
        <x:v>varies</x:v>
      </x:c>
      <x:c r="L74" s="19" t="str">
        <x:v>health issue identification</x:v>
      </x:c>
      <x:c r="M74" s="19" t="str">
        <x:v>fragmented care</x:v>
      </x:c>
      <x:c r="N74" s="19" t="str">
        <x:v>Mexico has a segmented system with private providers delivering substantial outpatient care but poorly integrated into public networks.</x:v>
      </x:c>
      <x:c r="O74" s="19" t="str">
        <x:v>Used for public/private fragmentation pattern.</x:v>
      </x:c>
      <x:c r="P74" s="19" t="str">
        <x:v>unknown</x:v>
      </x:c>
      <x:c r="Q74" s="19" t="str"/>
      <x:c r="R74" s="19" t="str">
        <x:v>See implications files for product mapping.</x:v>
      </x:c>
      <x:c r="S74" s="19" t="str">
        <x:v>high</x:v>
      </x:c>
      <x:c r="T74" s="19" t="str">
        <x:v>02_extracted_evidence/evidence_items.csv</x:v>
      </x:c>
      <x:c r="U74" s="19" t="str">
        <x:v>research_evidence_package_global_health_issue_identification_2026-05-30.tar.gz::02_extracted_evidence/evidence_items.csv::E013</x:v>
      </x:c>
    </x:row>
    <x:row r="75">
      <x:c r="A75" s="19" t="str">
        <x:v>E_global</x:v>
      </x:c>
      <x:c r="B75" s="19" t="str">
        <x:v>research_evidence_package_global_health_issue_identification_2026-05-30.tar.gz</x:v>
      </x:c>
      <x:c r="C75" s="19" t="str">
        <x:v>Research E / global health issue identification</x:v>
      </x:c>
      <x:c r="D75" s="19" t="str">
        <x:v>evidence_item</x:v>
      </x:c>
      <x:c r="E75" s="19" t="str">
        <x:v>E014</x:v>
      </x:c>
      <x:c r="F75" s="19" t="str">
        <x:v>S020</x:v>
      </x:c>
      <x:c r="G75" s="19" t="str">
        <x:v>Patients’ pathways to cancer diagnosis and treatment in Tanzania</x:v>
      </x:c>
      <x:c r="H75" s="19" t="str">
        <x:v>https://link.springer.com/article/10.1186/s12913-021-07438-5</x:v>
      </x:c>
      <x:c r="I75" s="19" t="str">
        <x:v>Tanzania</x:v>
      </x:c>
      <x:c r="J75" s="19" t="str">
        <x:v>cancer diagnosis pathway</x:v>
      </x:c>
      <x:c r="K75" s="19" t="str">
        <x:v>varies</x:v>
      </x:c>
      <x:c r="L75" s="19" t="str">
        <x:v>health issue identification</x:v>
      </x:c>
      <x:c r="M75" s="19" t="str">
        <x:v>cancer delay</x:v>
      </x:c>
      <x:c r="N75" s="19" t="str">
        <x:v>Tanzania cancer pathway study reported median delay of 358 days from first symptom to diagnosis.</x:v>
      </x:c>
      <x:c r="O75" s="19" t="str">
        <x:v>Used as low-resource diagnostic delay case.</x:v>
      </x:c>
      <x:c r="P75" s="19" t="str">
        <x:v>unknown</x:v>
      </x:c>
      <x:c r="Q75" s="19" t="str"/>
      <x:c r="R75" s="19" t="str">
        <x:v>See implications files for product mapping.</x:v>
      </x:c>
      <x:c r="S75" s="19" t="str">
        <x:v>high</x:v>
      </x:c>
      <x:c r="T75" s="19" t="str">
        <x:v>02_extracted_evidence/evidence_items.csv</x:v>
      </x:c>
      <x:c r="U75" s="19" t="str">
        <x:v>research_evidence_package_global_health_issue_identification_2026-05-30.tar.gz::02_extracted_evidence/evidence_items.csv::E014</x:v>
      </x:c>
    </x:row>
    <x:row r="76">
      <x:c r="A76" s="19" t="str">
        <x:v>E_global</x:v>
      </x:c>
      <x:c r="B76" s="19" t="str">
        <x:v>research_evidence_package_global_health_issue_identification_2026-05-30.tar.gz</x:v>
      </x:c>
      <x:c r="C76" s="19" t="str">
        <x:v>Research E / global health issue identification</x:v>
      </x:c>
      <x:c r="D76" s="19" t="str">
        <x:v>evidence_item</x:v>
      </x:c>
      <x:c r="E76" s="19" t="str">
        <x:v>E015</x:v>
      </x:c>
      <x:c r="F76" s="19" t="str">
        <x:v>S021</x:v>
      </x:c>
      <x:c r="G76" s="19" t="str">
        <x:v>WHO RAcE / iCCM programme</x:v>
      </x:c>
      <x:c r="H76" s="19" t="str">
        <x:v>https://www.who.int/teams/global-malaria-programme/case-management/community-based-case-management-race-programme</x:v>
      </x:c>
      <x:c r="I76" s="19" t="str">
        <x:v>Sub-Saharan Africa</x:v>
      </x:c>
      <x:c r="J76" s="19" t="str">
        <x:v>community health</x:v>
      </x:c>
      <x:c r="K76" s="19" t="str">
        <x:v>varies</x:v>
      </x:c>
      <x:c r="L76" s="19" t="str">
        <x:v>health issue identification</x:v>
      </x:c>
      <x:c r="M76" s="19" t="str">
        <x:v>CHW workflow</x:v>
      </x:c>
      <x:c r="N76" s="19" t="str">
        <x:v>WHO RAcE/iCCM trained CHWs to diagnose, treat, and refer childhood malaria, pneumonia, and diarrhea.</x:v>
      </x:c>
      <x:c r="O76" s="19" t="str">
        <x:v>Used for CHW first-assessment model.</x:v>
      </x:c>
      <x:c r="P76" s="19" t="str">
        <x:v>unknown</x:v>
      </x:c>
      <x:c r="Q76" s="19" t="str"/>
      <x:c r="R76" s="19" t="str">
        <x:v>See implications files for product mapping.</x:v>
      </x:c>
      <x:c r="S76" s="19" t="str">
        <x:v>high</x:v>
      </x:c>
      <x:c r="T76" s="19" t="str">
        <x:v>02_extracted_evidence/evidence_items.csv</x:v>
      </x:c>
      <x:c r="U76" s="19" t="str">
        <x:v>research_evidence_package_global_health_issue_identification_2026-05-30.tar.gz::02_extracted_evidence/evidence_items.csv::E015</x:v>
      </x:c>
    </x:row>
    <x:row r="77">
      <x:c r="A77" s="19" t="str">
        <x:v>E_global</x:v>
      </x:c>
      <x:c r="B77" s="19" t="str">
        <x:v>research_evidence_package_global_health_issue_identification_2026-05-30.tar.gz</x:v>
      </x:c>
      <x:c r="C77" s="19" t="str">
        <x:v>Research E / global health issue identification</x:v>
      </x:c>
      <x:c r="D77" s="19" t="str">
        <x:v>evidence_item</x:v>
      </x:c>
      <x:c r="E77" s="19" t="str">
        <x:v>E016</x:v>
      </x:c>
      <x:c r="F77" s="19" t="str">
        <x:v>S022</x:v>
      </x:c>
      <x:c r="G77" s="19" t="str">
        <x:v>WHO Europe refugee and migrant health</x:v>
      </x:c>
      <x:c r="H77" s="19" t="str">
        <x:v>https://www.who.int/europe/health-topics/refugee-and-migrant-health</x:v>
      </x:c>
      <x:c r="I77" s="19" t="str">
        <x:v>Europe</x:v>
      </x:c>
      <x:c r="J77" s="19" t="str">
        <x:v>migrant/refugee care</x:v>
      </x:c>
      <x:c r="K77" s="19" t="str">
        <x:v>varies</x:v>
      </x:c>
      <x:c r="L77" s="19" t="str">
        <x:v>health issue identification</x:v>
      </x:c>
      <x:c r="M77" s="19" t="str">
        <x:v>migrant access barriers</x:v>
      </x:c>
      <x:c r="N77" s="19" t="str">
        <x:v>WHO Europe reports migrants/refugees face barriers including unclear entitlements, limited interpreters/cultural mediators, financial barriers, discrimination, and poor living conditions.</x:v>
      </x:c>
      <x:c r="O77" s="19" t="str">
        <x:v>Used for migrant/refugee access black zones.</x:v>
      </x:c>
      <x:c r="P77" s="19" t="str">
        <x:v>unknown</x:v>
      </x:c>
      <x:c r="Q77" s="19" t="str"/>
      <x:c r="R77" s="19" t="str">
        <x:v>See implications files for product mapping.</x:v>
      </x:c>
      <x:c r="S77" s="19" t="str">
        <x:v>high</x:v>
      </x:c>
      <x:c r="T77" s="19" t="str">
        <x:v>02_extracted_evidence/evidence_items.csv</x:v>
      </x:c>
      <x:c r="U77" s="19" t="str">
        <x:v>research_evidence_package_global_health_issue_identification_2026-05-30.tar.gz::02_extracted_evidence/evidence_items.csv::E016</x:v>
      </x:c>
    </x:row>
    <x:row r="78">
      <x:c r="A78" s="19" t="str">
        <x:v>E_global</x:v>
      </x:c>
      <x:c r="B78" s="19" t="str">
        <x:v>research_evidence_package_global_health_issue_identification_2026-05-30.tar.gz</x:v>
      </x:c>
      <x:c r="C78" s="19" t="str">
        <x:v>Research E / global health issue identification</x:v>
      </x:c>
      <x:c r="D78" s="19" t="str">
        <x:v>evidence_item</x:v>
      </x:c>
      <x:c r="E78" s="19" t="str">
        <x:v>E017</x:v>
      </x:c>
      <x:c r="F78" s="19" t="str">
        <x:v>S023</x:v>
      </x:c>
      <x:c r="G78" s="19" t="str">
        <x:v>Improvement framework: community language translation and interpreting services</x:v>
      </x:c>
      <x:c r="H78" s="19" t="str">
        <x:v>https://www.england.nhs.uk/long-read/improvement-framework-community-language-translation-and-interpreting-services/</x:v>
      </x:c>
      <x:c r="I78" s="19" t="str">
        <x:v>England</x:v>
      </x:c>
      <x:c r="J78" s="19" t="str">
        <x:v>all NHS settings</x:v>
      </x:c>
      <x:c r="K78" s="19" t="str">
        <x:v>varies</x:v>
      </x:c>
      <x:c r="L78" s="19" t="str">
        <x:v>health issue identification</x:v>
      </x:c>
      <x:c r="M78" s="19" t="str">
        <x:v>language access</x:v>
      </x:c>
      <x:c r="N78" s="19" t="str">
        <x:v>NHS England reports people with limited English can struggle at all points and inconsistent interpreting can prevent engagement.</x:v>
      </x:c>
      <x:c r="O78" s="19" t="str">
        <x:v>Used for language barrier workflow design.</x:v>
      </x:c>
      <x:c r="P78" s="19" t="str">
        <x:v>unknown</x:v>
      </x:c>
      <x:c r="Q78" s="19" t="str"/>
      <x:c r="R78" s="19" t="str">
        <x:v>See implications files for product mapping.</x:v>
      </x:c>
      <x:c r="S78" s="19" t="str">
        <x:v>high</x:v>
      </x:c>
      <x:c r="T78" s="19" t="str">
        <x:v>02_extracted_evidence/evidence_items.csv</x:v>
      </x:c>
      <x:c r="U78" s="19" t="str">
        <x:v>research_evidence_package_global_health_issue_identification_2026-05-30.tar.gz::02_extracted_evidence/evidence_items.csv::E017</x:v>
      </x:c>
    </x:row>
    <x:row r="79">
      <x:c r="A79" s="19" t="str">
        <x:v>E_global</x:v>
      </x:c>
      <x:c r="B79" s="19" t="str">
        <x:v>research_evidence_package_global_health_issue_identification_2026-05-30.tar.gz</x:v>
      </x:c>
      <x:c r="C79" s="19" t="str">
        <x:v>Research E / global health issue identification</x:v>
      </x:c>
      <x:c r="D79" s="19" t="str">
        <x:v>evidence_item</x:v>
      </x:c>
      <x:c r="E79" s="19" t="str">
        <x:v>E018</x:v>
      </x:c>
      <x:c r="F79" s="19" t="str">
        <x:v>S026</x:v>
      </x:c>
      <x:c r="G79" s="19" t="str">
        <x:v>When health care harms: Addressing Indigenous-specific racism in Canada</x:v>
      </x:c>
      <x:c r="H79" s="19" t="str">
        <x:v>https://www.cpha.ca/when-health-care-harms-addressing-indigenous-specific-racism-canada</x:v>
      </x:c>
      <x:c r="I79" s="19" t="str">
        <x:v>Canada</x:v>
      </x:c>
      <x:c r="J79" s="19" t="str">
        <x:v>ED / hospital</x:v>
      </x:c>
      <x:c r="K79" s="19" t="str">
        <x:v>varies</x:v>
      </x:c>
      <x:c r="L79" s="19" t="str">
        <x:v>health issue identification</x:v>
      </x:c>
      <x:c r="M79" s="19" t="str">
        <x:v>Indigenous health equity</x:v>
      </x:c>
      <x:c r="N79" s="19" t="str">
        <x:v>Canadian Indigenous patients may have symptoms taken less seriously and stereotypes can lead to misdiagnosis or neglect.</x:v>
      </x:c>
      <x:c r="O79" s="19" t="str">
        <x:v>Used for cultural-safety and racism black zones.</x:v>
      </x:c>
      <x:c r="P79" s="19" t="str">
        <x:v>unknown</x:v>
      </x:c>
      <x:c r="Q79" s="19" t="str"/>
      <x:c r="R79" s="19" t="str">
        <x:v>See implications files for product mapping.</x:v>
      </x:c>
      <x:c r="S79" s="19" t="str">
        <x:v>medium</x:v>
      </x:c>
      <x:c r="T79" s="19" t="str">
        <x:v>02_extracted_evidence/evidence_items.csv</x:v>
      </x:c>
      <x:c r="U79" s="19" t="str">
        <x:v>research_evidence_package_global_health_issue_identification_2026-05-30.tar.gz::02_extracted_evidence/evidence_items.csv::E018</x:v>
      </x:c>
    </x:row>
    <x:row r="80">
      <x:c r="A80" s="19" t="str">
        <x:v>E_global</x:v>
      </x:c>
      <x:c r="B80" s="19" t="str">
        <x:v>research_evidence_package_global_health_issue_identification_2026-05-30.tar.gz</x:v>
      </x:c>
      <x:c r="C80" s="19" t="str">
        <x:v>Research E / global health issue identification</x:v>
      </x:c>
      <x:c r="D80" s="19" t="str">
        <x:v>evidence_item</x:v>
      </x:c>
      <x:c r="E80" s="19" t="str">
        <x:v>E019</x:v>
      </x:c>
      <x:c r="F80" s="19" t="str">
        <x:v>S027</x:v>
      </x:c>
      <x:c r="G80" s="19" t="str">
        <x:v>Cultural safety in health care for Indigenous Australians: monitoring framework</x:v>
      </x:c>
      <x:c r="H80" s="19" t="str">
        <x:v>https://www.aihw.gov.au/reports/indigenous-australians/cultural-safety-health-care-framework/contents/summary</x:v>
      </x:c>
      <x:c r="I80" s="19" t="str">
        <x:v>Australia</x:v>
      </x:c>
      <x:c r="J80" s="19" t="str">
        <x:v>all settings</x:v>
      </x:c>
      <x:c r="K80" s="19" t="str">
        <x:v>varies</x:v>
      </x:c>
      <x:c r="L80" s="19" t="str">
        <x:v>health issue identification</x:v>
      </x:c>
      <x:c r="M80" s="19" t="str">
        <x:v>cultural safety</x:v>
      </x:c>
      <x:c r="N80" s="19" t="str">
        <x:v>AIHW reports 32% of Indigenous Australians who did not access needed services cited cultural reasons such as language, discrimination, or cultural appropriateness.</x:v>
      </x:c>
      <x:c r="O80" s="19" t="str">
        <x:v>Used for cultural-safety access barrier metric.</x:v>
      </x:c>
      <x:c r="P80" s="19" t="str">
        <x:v>unknown</x:v>
      </x:c>
      <x:c r="Q80" s="19" t="str"/>
      <x:c r="R80" s="19" t="str">
        <x:v>See implications files for product mapping.</x:v>
      </x:c>
      <x:c r="S80" s="19" t="str">
        <x:v>high</x:v>
      </x:c>
      <x:c r="T80" s="19" t="str">
        <x:v>02_extracted_evidence/evidence_items.csv</x:v>
      </x:c>
      <x:c r="U80" s="19" t="str">
        <x:v>research_evidence_package_global_health_issue_identification_2026-05-30.tar.gz::02_extracted_evidence/evidence_items.csv::E019</x:v>
      </x:c>
    </x:row>
    <x:row r="81">
      <x:c r="A81" s="19" t="str">
        <x:v>E_global</x:v>
      </x:c>
      <x:c r="B81" s="19" t="str">
        <x:v>research_evidence_package_global_health_issue_identification_2026-05-30.tar.gz</x:v>
      </x:c>
      <x:c r="C81" s="19" t="str">
        <x:v>Research E / global health issue identification</x:v>
      </x:c>
      <x:c r="D81" s="19" t="str">
        <x:v>evidence_item</x:v>
      </x:c>
      <x:c r="E81" s="19" t="str">
        <x:v>E020</x:v>
      </x:c>
      <x:c r="F81" s="19" t="str">
        <x:v>S030</x:v>
      </x:c>
      <x:c r="G81" s="19" t="str">
        <x:v>Why health care is harder to access in rural America</x:v>
      </x:c>
      <x:c r="H81" s="19" t="str">
        <x:v>https://www.gao.gov/products/gao-23-106651</x:v>
      </x:c>
      <x:c r="I81" s="19" t="str">
        <x:v>Rural US</x:v>
      </x:c>
      <x:c r="J81" s="19" t="str">
        <x:v>rural care / telehealth</x:v>
      </x:c>
      <x:c r="K81" s="19" t="str">
        <x:v>varies</x:v>
      </x:c>
      <x:c r="L81" s="19" t="str">
        <x:v>health issue identification</x:v>
      </x:c>
      <x:c r="M81" s="19" t="str">
        <x:v>rural access</x:v>
      </x:c>
      <x:c r="N81" s="19" t="str">
        <x:v>GAO reports rural US residents face fewer providers, longer travel, transportation barriers, and less broadband.</x:v>
      </x:c>
      <x:c r="O81" s="19" t="str">
        <x:v>Used for rural high-income access pattern.</x:v>
      </x:c>
      <x:c r="P81" s="19" t="str">
        <x:v>unknown</x:v>
      </x:c>
      <x:c r="Q81" s="19" t="str"/>
      <x:c r="R81" s="19" t="str">
        <x:v>See implications files for product mapping.</x:v>
      </x:c>
      <x:c r="S81" s="19" t="str">
        <x:v>high</x:v>
      </x:c>
      <x:c r="T81" s="19" t="str">
        <x:v>02_extracted_evidence/evidence_items.csv</x:v>
      </x:c>
      <x:c r="U81" s="19" t="str">
        <x:v>research_evidence_package_global_health_issue_identification_2026-05-30.tar.gz::02_extracted_evidence/evidence_items.csv::E020</x:v>
      </x:c>
    </x:row>
    <x:row r="82">
      <x:c r="A82" s="19" t="str">
        <x:v>E_global</x:v>
      </x:c>
      <x:c r="B82" s="19" t="str">
        <x:v>research_evidence_package_global_health_issue_identification_2026-05-30.tar.gz</x:v>
      </x:c>
      <x:c r="C82" s="19" t="str">
        <x:v>Research E / global health issue identification</x:v>
      </x:c>
      <x:c r="D82" s="19" t="str">
        <x:v>evidence_item</x:v>
      </x:c>
      <x:c r="E82" s="19" t="str">
        <x:v>E021</x:v>
      </x:c>
      <x:c r="F82" s="19" t="str">
        <x:v>S005</x:v>
      </x:c>
      <x:c r="G82" s="19" t="str">
        <x:v>Continuity of care: delayed diagnosis in GP practices</x:v>
      </x:c>
      <x:c r="H82" s="19" t="str">
        <x:v>https://www.hssib.org.uk/patient-safety-investigations/continuity-of-care-delayed-diagnosis-in-gp-practices/investigation-report/</x:v>
      </x:c>
      <x:c r="I82" s="19" t="str">
        <x:v>England</x:v>
      </x:c>
      <x:c r="J82" s="19" t="str">
        <x:v>GP / ED / out-of-hours / physiotherapy</x:v>
      </x:c>
      <x:c r="K82" s="19" t="str">
        <x:v>varies</x:v>
      </x:c>
      <x:c r="L82" s="19" t="str">
        <x:v>metastatic cancer / severe back pain</x:v>
      </x:c>
      <x:c r="M82" s="19" t="str">
        <x:v>continuity failure</x:v>
      </x:c>
      <x:c r="N82" s="19" t="str">
        <x:v>Delayed metastatic cancer diagnosis after repeated back-pain presentations</x:v>
      </x:c>
      <x:c r="O82" s="19" t="str">
        <x:v>Multiple contacts occurred across ED, GP, nurse, physiotherapy and out-of-hours care; diagnosis came after repeated presentations.</x:v>
      </x:c>
      <x:c r="P82" s="19" t="str">
        <x:v>Red flags and repeated symptom pattern were not connected early enough.</x:v>
      </x:c>
      <x:c r="Q82" s="19" t="str"/>
      <x:c r="R82" s="19" t="str">
        <x:v>Same-symptom clustering, unresolved-problem tracking, named follow-up owner</x:v>
      </x:c>
      <x:c r="S82" s="19" t="str">
        <x:v>high</x:v>
      </x:c>
      <x:c r="T82" s="19" t="str">
        <x:v>02_extracted_evidence/evidence_items.csv</x:v>
      </x:c>
      <x:c r="U82" s="19" t="str">
        <x:v>research_evidence_package_global_health_issue_identification_2026-05-30.tar.gz::02_extracted_evidence/evidence_items.csv::E021</x:v>
      </x:c>
    </x:row>
    <x:row r="83">
      <x:c r="A83" s="19" t="str">
        <x:v>E_global</x:v>
      </x:c>
      <x:c r="B83" s="19" t="str">
        <x:v>research_evidence_package_global_health_issue_identification_2026-05-30.tar.gz</x:v>
      </x:c>
      <x:c r="C83" s="19" t="str">
        <x:v>Research E / global health issue identification</x:v>
      </x:c>
      <x:c r="D83" s="19" t="str">
        <x:v>evidence_item</x:v>
      </x:c>
      <x:c r="E83" s="19" t="str">
        <x:v>E022</x:v>
      </x:c>
      <x:c r="F83" s="19" t="str">
        <x:v>S006</x:v>
      </x:c>
      <x:c r="G83" s="19" t="str">
        <x:v>Patients being harmed due to repeated mistakes reading scans</x:v>
      </x:c>
      <x:c r="H83" s="19" t="str">
        <x:v>https://www.ombudsman.org.uk/news-and-blog/news/patients-being-harmed-due-repeated-mistakes-reading-scans</x:v>
      </x:c>
      <x:c r="I83" s="19" t="str">
        <x:v>UK</x:v>
      </x:c>
      <x:c r="J83" s="19" t="str">
        <x:v>imaging / hospital</x:v>
      </x:c>
      <x:c r="K83" s="19" t="str">
        <x:v>varies</x:v>
      </x:c>
      <x:c r="L83" s="19" t="str">
        <x:v>cancer / scan abnormality</x:v>
      </x:c>
      <x:c r="M83" s="19" t="str">
        <x:v>abnormal result missed</x:v>
      </x:c>
      <x:c r="N83" s="19" t="str">
        <x:v>Missed bowel lesion on scan with delayed diagnosis</x:v>
      </x:c>
      <x:c r="O83" s="19" t="str">
        <x:v>Abnormality was not identified and later follow-up was delayed.</x:v>
      </x:c>
      <x:c r="P83" s="19" t="str">
        <x:v>Scan finding missed and result follow-up failed.</x:v>
      </x:c>
      <x:c r="Q83" s="19" t="str"/>
      <x:c r="R83" s="19" t="str">
        <x:v>Closed-loop scan tracker with escalation for unreviewed abnormal results</x:v>
      </x:c>
      <x:c r="S83" s="19" t="str">
        <x:v>high</x:v>
      </x:c>
      <x:c r="T83" s="19" t="str">
        <x:v>02_extracted_evidence/evidence_items.csv</x:v>
      </x:c>
      <x:c r="U83" s="19" t="str">
        <x:v>research_evidence_package_global_health_issue_identification_2026-05-30.tar.gz::02_extracted_evidence/evidence_items.csv::E022</x:v>
      </x:c>
    </x:row>
    <x:row r="84">
      <x:c r="A84" s="19" t="str">
        <x:v>E_global</x:v>
      </x:c>
      <x:c r="B84" s="19" t="str">
        <x:v>research_evidence_package_global_health_issue_identification_2026-05-30.tar.gz</x:v>
      </x:c>
      <x:c r="C84" s="19" t="str">
        <x:v>Research E / global health issue identification</x:v>
      </x:c>
      <x:c r="D84" s="19" t="str">
        <x:v>evidence_item</x:v>
      </x:c>
      <x:c r="E84" s="19" t="str">
        <x:v>E023</x:v>
      </x:c>
      <x:c r="F84" s="19" t="str">
        <x:v>S007</x:v>
      </x:c>
      <x:c r="G84" s="19" t="str">
        <x:v>More action on sepsis needed as NHS Ombudsman still seeing same failings a decade on</x:v>
      </x:c>
      <x:c r="H84" s="19" t="str">
        <x:v>https://www.ombudsman.org.uk/news-and-blog/news/more-action-sepsis-needed-nhs-ombudsman-still-seeing-same-failings-decade</x:v>
      </x:c>
      <x:c r="I84" s="19" t="str">
        <x:v>UK</x:v>
      </x:c>
      <x:c r="J84" s="19" t="str">
        <x:v>hospital / ED / inpatient</x:v>
      </x:c>
      <x:c r="K84" s="19" t="str">
        <x:v>varies</x:v>
      </x:c>
      <x:c r="L84" s="19" t="str">
        <x:v>sepsis</x:v>
      </x:c>
      <x:c r="M84" s="19" t="str">
        <x:v>red flag missed</x:v>
      </x:c>
      <x:c r="N84" s="19" t="str">
        <x:v>Sepsis recognition failures repeated across NHS complaints</x:v>
      </x:c>
      <x:c r="O84" s="19" t="str">
        <x:v>Delayed diagnosis/treatment and communication/follow-up failures recurred across cases.</x:v>
      </x:c>
      <x:c r="P84" s="19" t="str">
        <x:v>Sepsis red flags and family concerns were not acted on quickly enough.</x:v>
      </x:c>
      <x:c r="Q84" s="19" t="str"/>
      <x:c r="R84" s="19" t="str">
        <x:v>Family concern escalation field and sepsis reassessment prompts</x:v>
      </x:c>
      <x:c r="S84" s="19" t="str">
        <x:v>high</x:v>
      </x:c>
      <x:c r="T84" s="19" t="str">
        <x:v>02_extracted_evidence/evidence_items.csv</x:v>
      </x:c>
      <x:c r="U84" s="19" t="str">
        <x:v>research_evidence_package_global_health_issue_identification_2026-05-30.tar.gz::02_extracted_evidence/evidence_items.csv::E023</x:v>
      </x:c>
    </x:row>
    <x:row r="85">
      <x:c r="A85" s="19" t="str">
        <x:v>E_global</x:v>
      </x:c>
      <x:c r="B85" s="19" t="str">
        <x:v>research_evidence_package_global_health_issue_identification_2026-05-30.tar.gz</x:v>
      </x:c>
      <x:c r="C85" s="19" t="str">
        <x:v>Research E / global health issue identification</x:v>
      </x:c>
      <x:c r="D85" s="19" t="str">
        <x:v>evidence_item</x:v>
      </x:c>
      <x:c r="E85" s="19" t="str">
        <x:v>E024</x:v>
      </x:c>
      <x:c r="F85" s="19" t="str">
        <x:v>S010</x:v>
      </x:c>
      <x:c r="G85" s="19" t="str">
        <x:v>Healthcare access and barriers among Bedouin communities in Israel</x:v>
      </x:c>
      <x:c r="H85" s="19" t="str">
        <x:v>https://link.springer.com/article/10.1186/s12939-025-02398-2</x:v>
      </x:c>
      <x:c r="I85" s="19" t="str">
        <x:v>Israel / Negev Bedouin</x:v>
      </x:c>
      <x:c r="J85" s="19" t="str">
        <x:v>community / primary care</x:v>
      </x:c>
      <x:c r="K85" s="19" t="str">
        <x:v>varies</x:v>
      </x:c>
      <x:c r="L85" s="19" t="str">
        <x:v>general health needs</x:v>
      </x:c>
      <x:c r="M85" s="19" t="str">
        <x:v>underserved access</x:v>
      </x:c>
      <x:c r="N85" s="19" t="str">
        <x:v>Bedouin community access and continuity barriers</x:v>
      </x:c>
      <x:c r="O85" s="19" t="str">
        <x:v>Physical access, health-literacy barriers, and out-of-system care complicate care continuity.</x:v>
      </x:c>
      <x:c r="P85" s="19" t="str">
        <x:v>Signals can be missed when care occurs outside the formal Israeli record system.</x:v>
      </x:c>
      <x:c r="Q85" s="19" t="str"/>
      <x:c r="R85" s="19" t="str">
        <x:v>Capture out-of-system visits and language/cultural access needs</x:v>
      </x:c>
      <x:c r="S85" s="19" t="str">
        <x:v>medium</x:v>
      </x:c>
      <x:c r="T85" s="19" t="str">
        <x:v>02_extracted_evidence/evidence_items.csv</x:v>
      </x:c>
      <x:c r="U85" s="19" t="str">
        <x:v>research_evidence_package_global_health_issue_identification_2026-05-30.tar.gz::02_extracted_evidence/evidence_items.csv::E024</x:v>
      </x:c>
    </x:row>
    <x:row r="86">
      <x:c r="A86" s="19" t="str">
        <x:v>E_global</x:v>
      </x:c>
      <x:c r="B86" s="19" t="str">
        <x:v>research_evidence_package_global_health_issue_identification_2026-05-30.tar.gz</x:v>
      </x:c>
      <x:c r="C86" s="19" t="str">
        <x:v>Research E / global health issue identification</x:v>
      </x:c>
      <x:c r="D86" s="19" t="str">
        <x:v>evidence_item</x:v>
      </x:c>
      <x:c r="E86" s="19" t="str">
        <x:v>E025</x:v>
      </x:c>
      <x:c r="F86" s="19" t="str">
        <x:v>S012</x:v>
      </x:c>
      <x:c r="G86" s="19" t="str">
        <x:v>Non-allopathic provider referral intervention for TB diagnosis</x:v>
      </x:c>
      <x:c r="H86" s="19" t="str">
        <x:v>https://journals.plos.org/globalpublichealth/article?id=10.1371%2Fjournal.pgph.0004416</x:v>
      </x:c>
      <x:c r="I86" s="19" t="str">
        <x:v>India</x:v>
      </x:c>
      <x:c r="J86" s="19" t="str">
        <x:v>community / informal / TB pathway</x:v>
      </x:c>
      <x:c r="K86" s="19" t="str">
        <x:v>varies</x:v>
      </x:c>
      <x:c r="L86" s="19" t="str">
        <x:v>TB-like symptoms</x:v>
      </x:c>
      <x:c r="M86" s="19" t="str">
        <x:v>successful community linkage</x:v>
      </x:c>
      <x:c r="N86" s="19" t="str">
        <x:v>Non-allopathic provider TB referral intervention</x:v>
      </x:c>
      <x:c r="O86" s="19" t="str">
        <x:v>Intervention linked these providers to referral and free chest x-ray.</x:v>
      </x:c>
      <x:c r="P86" s="19" t="str">
        <x:v>TB identification improved; diagnostic delay reduced.</x:v>
      </x:c>
      <x:c r="Q86" s="19" t="str"/>
      <x:c r="R86" s="19" t="str">
        <x:v>Referral tools and diagnostic vouchers for informal/community providers</x:v>
      </x:c>
      <x:c r="S86" s="19" t="str">
        <x:v>high</x:v>
      </x:c>
      <x:c r="T86" s="19" t="str">
        <x:v>02_extracted_evidence/evidence_items.csv</x:v>
      </x:c>
      <x:c r="U86" s="19" t="str">
        <x:v>research_evidence_package_global_health_issue_identification_2026-05-30.tar.gz::02_extracted_evidence/evidence_items.csv::E025</x:v>
      </x:c>
    </x:row>
    <x:row r="87">
      <x:c r="A87" s="19" t="str">
        <x:v>E_global</x:v>
      </x:c>
      <x:c r="B87" s="19" t="str">
        <x:v>research_evidence_package_global_health_issue_identification_2026-05-30.tar.gz</x:v>
      </x:c>
      <x:c r="C87" s="19" t="str">
        <x:v>Research E / global health issue identification</x:v>
      </x:c>
      <x:c r="D87" s="19" t="str">
        <x:v>evidence_item</x:v>
      </x:c>
      <x:c r="E87" s="19" t="str">
        <x:v>E026</x:v>
      </x:c>
      <x:c r="F87" s="19" t="str">
        <x:v>S020</x:v>
      </x:c>
      <x:c r="G87" s="19" t="str">
        <x:v>Patients’ pathways to cancer diagnosis and treatment in Tanzania</x:v>
      </x:c>
      <x:c r="H87" s="19" t="str">
        <x:v>https://link.springer.com/article/10.1186/s12913-021-07438-5</x:v>
      </x:c>
      <x:c r="I87" s="19" t="str">
        <x:v>Tanzania</x:v>
      </x:c>
      <x:c r="J87" s="19" t="str">
        <x:v>low-resource cancer pathway</x:v>
      </x:c>
      <x:c r="K87" s="19" t="str">
        <x:v>varies</x:v>
      </x:c>
      <x:c r="L87" s="19" t="str">
        <x:v>cancer symptoms</x:v>
      </x:c>
      <x:c r="M87" s="19" t="str">
        <x:v>low-resource diagnostic delay</x:v>
      </x:c>
      <x:c r="N87" s="19" t="str">
        <x:v>Tanzania cancer diagnostic journey</x:v>
      </x:c>
      <x:c r="O87" s="19" t="str">
        <x:v>Diagnostic capacity such as imaging/pathology was concentrated in higher-level centers and patients often self-referred.</x:v>
      </x:c>
      <x:c r="P87" s="19" t="str">
        <x:v>Cancer confirmation was delayed.</x:v>
      </x:c>
      <x:c r="Q87" s="19" t="str"/>
      <x:c r="R87" s="19" t="str">
        <x:v>Referral completion and diagnostic-capacity map</x:v>
      </x:c>
      <x:c r="S87" s="19" t="str">
        <x:v>high</x:v>
      </x:c>
      <x:c r="T87" s="19" t="str">
        <x:v>02_extracted_evidence/evidence_items.csv</x:v>
      </x:c>
      <x:c r="U87" s="19" t="str">
        <x:v>research_evidence_package_global_health_issue_identification_2026-05-30.tar.gz::02_extracted_evidence/evidence_items.csv::E026</x:v>
      </x:c>
    </x:row>
    <x:row r="88">
      <x:c r="A88" s="19" t="str">
        <x:v>E_global</x:v>
      </x:c>
      <x:c r="B88" s="19" t="str">
        <x:v>research_evidence_package_global_health_issue_identification_2026-05-30.tar.gz</x:v>
      </x:c>
      <x:c r="C88" s="19" t="str">
        <x:v>Research E / global health issue identification</x:v>
      </x:c>
      <x:c r="D88" s="19" t="str">
        <x:v>evidence_item</x:v>
      </x:c>
      <x:c r="E88" s="19" t="str">
        <x:v>E027</x:v>
      </x:c>
      <x:c r="F88" s="19" t="str">
        <x:v>S021</x:v>
      </x:c>
      <x:c r="G88" s="19" t="str">
        <x:v>WHO RAcE / iCCM programme</x:v>
      </x:c>
      <x:c r="H88" s="19" t="str">
        <x:v>https://www.who.int/teams/global-malaria-programme/case-management/community-based-case-management-race-programme</x:v>
      </x:c>
      <x:c r="I88" s="19" t="str">
        <x:v>DRC, Malawi, Mozambique, Niger, Nigeria</x:v>
      </x:c>
      <x:c r="J88" s="19" t="str">
        <x:v>community health / CHW</x:v>
      </x:c>
      <x:c r="K88" s="19" t="str">
        <x:v>varies</x:v>
      </x:c>
      <x:c r="L88" s="19" t="str">
        <x:v>malaria, pneumonia, diarrhea in children under 5</x:v>
      </x:c>
      <x:c r="M88" s="19" t="str">
        <x:v>community-health-worker system</x:v>
      </x:c>
      <x:c r="N88" s="19" t="str">
        <x:v>WHO RAcE/iCCM CHW childhood illness workflow</x:v>
      </x:c>
      <x:c r="O88" s="19" t="str">
        <x:v>CHWs diagnosed, treated, and referred according to iCCM protocols.</x:v>
      </x:c>
      <x:c r="P88" s="19" t="str">
        <x:v>Danger signs and treatable childhood illnesses identified closer to community.</x:v>
      </x:c>
      <x:c r="Q88" s="19" t="str"/>
      <x:c r="R88" s="19" t="str">
        <x:v>Offline CHW protocols, stock status, and referral confirmation</x:v>
      </x:c>
      <x:c r="S88" s="19" t="str">
        <x:v>high</x:v>
      </x:c>
      <x:c r="T88" s="19" t="str">
        <x:v>02_extracted_evidence/evidence_items.csv</x:v>
      </x:c>
      <x:c r="U88" s="19" t="str">
        <x:v>research_evidence_package_global_health_issue_identification_2026-05-30.tar.gz::02_extracted_evidence/evidence_items.csv::E027</x:v>
      </x:c>
    </x:row>
    <x:row r="89">
      <x:c r="A89" s="19" t="str">
        <x:v>E_global</x:v>
      </x:c>
      <x:c r="B89" s="19" t="str">
        <x:v>research_evidence_package_global_health_issue_identification_2026-05-30.tar.gz</x:v>
      </x:c>
      <x:c r="C89" s="19" t="str">
        <x:v>Research E / global health issue identification</x:v>
      </x:c>
      <x:c r="D89" s="19" t="str">
        <x:v>evidence_item</x:v>
      </x:c>
      <x:c r="E89" s="19" t="str">
        <x:v>E028</x:v>
      </x:c>
      <x:c r="F89" s="19" t="str">
        <x:v>S026</x:v>
      </x:c>
      <x:c r="G89" s="19" t="str">
        <x:v>When health care harms: Addressing Indigenous-specific racism in Canada</x:v>
      </x:c>
      <x:c r="H89" s="19" t="str">
        <x:v>https://www.cpha.ca/when-health-care-harms-addressing-indigenous-specific-racism-canada</x:v>
      </x:c>
      <x:c r="I89" s="19" t="str">
        <x:v>Canada</x:v>
      </x:c>
      <x:c r="J89" s="19" t="str">
        <x:v>emergency department</x:v>
      </x:c>
      <x:c r="K89" s="19" t="str">
        <x:v>varies</x:v>
      </x:c>
      <x:c r="L89" s="19" t="str">
        <x:v>treatable medical need / referral note</x:v>
      </x:c>
      <x:c r="M89" s="19" t="str">
        <x:v>Indigenous-specific racism / triage failure</x:v>
      </x:c>
      <x:c r="N89" s="19" t="str">
        <x:v>Brian Sinclair emergency department waiting-room death</x:v>
      </x:c>
      <x:c r="O89" s="19" t="str">
        <x:v>He waited 34 hours in the ED; staff reportedly assumed intoxication.</x:v>
      </x:c>
      <x:c r="P89" s="19" t="str">
        <x:v>Clinical need and referral note were not acted on.</x:v>
      </x:c>
      <x:c r="Q89" s="19" t="str"/>
      <x:c r="R89" s="19" t="str">
        <x:v>Anti-bias triage audit, Indigenous liaison escalation, did-not-wait prevention</x:v>
      </x:c>
      <x:c r="S89" s="19" t="str">
        <x:v>medium</x:v>
      </x:c>
      <x:c r="T89" s="19" t="str">
        <x:v>02_extracted_evidence/evidence_items.csv</x:v>
      </x:c>
      <x:c r="U89" s="19" t="str">
        <x:v>research_evidence_package_global_health_issue_identification_2026-05-30.tar.gz::02_extracted_evidence/evidence_items.csv::E028</x:v>
      </x:c>
    </x:row>
    <x:row r="90">
      <x:c r="A90" s="19" t="str">
        <x:v>E_global</x:v>
      </x:c>
      <x:c r="B90" s="19" t="str">
        <x:v>research_evidence_package_global_health_issue_identification_2026-05-30.tar.gz</x:v>
      </x:c>
      <x:c r="C90" s="19" t="str">
        <x:v>Research E / global health issue identification</x:v>
      </x:c>
      <x:c r="D90" s="19" t="str">
        <x:v>evidence_item</x:v>
      </x:c>
      <x:c r="E90" s="19" t="str">
        <x:v>E029</x:v>
      </x:c>
      <x:c r="F90" s="19" t="str">
        <x:v>S028</x:v>
      </x:c>
      <x:c r="G90" s="19" t="str">
        <x:v>Transforming Emergency Departments towards Cultural Safety</x:v>
      </x:c>
      <x:c r="H90" s="19" t="str">
        <x:v>https://www.clinicalexcellence.qld.gov.au/improvement-exchange/transforming-eds-towards-cultural-safety-tecs</x:v>
      </x:c>
      <x:c r="I90" s="19" t="str">
        <x:v>Australia / Queensland</x:v>
      </x:c>
      <x:c r="J90" s="19" t="str">
        <x:v>emergency department</x:v>
      </x:c>
      <x:c r="K90" s="19" t="str">
        <x:v>varies</x:v>
      </x:c>
      <x:c r="L90" s="19" t="str">
        <x:v>ED presentations by Aboriginal and Torres Strait Islander patients</x:v>
      </x:c>
      <x:c r="M90" s="19" t="str">
        <x:v>cultural safety workflow</x:v>
      </x:c>
      <x:c r="N90" s="19" t="str">
        <x:v>Queensland ED cultural-safety transformation project</x:v>
      </x:c>
      <x:c r="O90" s="19" t="str">
        <x:v>Project focused on culturally and clinically appropriate care and reducing did-not-wait outcomes.</x:v>
      </x:c>
      <x:c r="P90" s="19" t="str">
        <x:v>Risk of leaving before diagnostic workup was targeted.</x:v>
      </x:c>
      <x:c r="Q90" s="19" t="str"/>
      <x:c r="R90" s="19" t="str">
        <x:v>Real-time liaison routing and cultural-safety workflow</x:v>
      </x:c>
      <x:c r="S90" s="19" t="str">
        <x:v>medium</x:v>
      </x:c>
      <x:c r="T90" s="19" t="str">
        <x:v>02_extracted_evidence/evidence_items.csv</x:v>
      </x:c>
      <x:c r="U90" s="19" t="str">
        <x:v>research_evidence_package_global_health_issue_identification_2026-05-30.tar.gz::02_extracted_evidence/evidence_items.csv::E029</x:v>
      </x:c>
    </x:row>
    <x:row r="91">
      <x:c r="A91" s="19" t="str">
        <x:v>E_global</x:v>
      </x:c>
      <x:c r="B91" s="19" t="str">
        <x:v>research_evidence_package_global_health_issue_identification_2026-05-30.tar.gz</x:v>
      </x:c>
      <x:c r="C91" s="19" t="str">
        <x:v>Research E / global health issue identification</x:v>
      </x:c>
      <x:c r="D91" s="19" t="str">
        <x:v>evidence_item</x:v>
      </x:c>
      <x:c r="E91" s="19" t="str">
        <x:v>E030</x:v>
      </x:c>
      <x:c r="F91" s="19" t="str">
        <x:v>S025</x:v>
      </x:c>
      <x:c r="G91" s="19" t="str">
        <x:v>Health Catch-UP migrant screening tool</x:v>
      </x:c>
      <x:c r="H91" s="19" t="str">
        <x:v>https://link.springer.com/article/10.1186/s12916-024-03713-4</x:v>
      </x:c>
      <x:c r="I91" s="19" t="str">
        <x:v>UK</x:v>
      </x:c>
      <x:c r="J91" s="19" t="str">
        <x:v>migrant/refugee primary care screening</x:v>
      </x:c>
      <x:c r="K91" s="19" t="str">
        <x:v>varies</x:v>
      </x:c>
      <x:c r="L91" s="19" t="str">
        <x:v>hepatitis C, diabetes risk, hypercholesterolemia, immunization gaps</x:v>
      </x:c>
      <x:c r="M91" s="19" t="str">
        <x:v>migrant health screening</x:v>
      </x:c>
      <x:c r="N91" s="19" t="str">
        <x:v>Health Catch-UP migrant screening</x:v>
      </x:c>
      <x:c r="O91" s="19" t="str">
        <x:v>EHR-integrated tool prompted screening.</x:v>
      </x:c>
      <x:c r="P91" s="19" t="str">
        <x:v>New conditions were identified and vaccination gaps surfaced.</x:v>
      </x:c>
      <x:c r="Q91" s="19" t="str"/>
      <x:c r="R91" s="19" t="str">
        <x:v>Migrant-specific EHR screening and vaccination reconstruction</x:v>
      </x:c>
      <x:c r="S91" s="19" t="str">
        <x:v>medium</x:v>
      </x:c>
      <x:c r="T91" s="19" t="str">
        <x:v>02_extracted_evidence/evidence_items.csv</x:v>
      </x:c>
      <x:c r="U91" s="19" t="str">
        <x:v>research_evidence_package_global_health_issue_identification_2026-05-30.tar.gz::02_extracted_evidence/evidence_items.csv::E030</x:v>
      </x:c>
    </x:row>
    <x:row r="92">
      <x:c r="A92" s="19" t="str">
        <x:v>E_global</x:v>
      </x:c>
      <x:c r="B92" s="19" t="str">
        <x:v>research_evidence_package_global_health_issue_identification_2026-05-30.tar.gz</x:v>
      </x:c>
      <x:c r="C92" s="19" t="str">
        <x:v>Research E / global health issue identification</x:v>
      </x:c>
      <x:c r="D92" s="19" t="str">
        <x:v>case</x:v>
      </x:c>
      <x:c r="E92" s="19" t="str">
        <x:v>C001</x:v>
      </x:c>
      <x:c r="F92" s="19" t="str">
        <x:v>S005</x:v>
      </x:c>
      <x:c r="G92" s="19" t="str">
        <x:v>Continuity of care: delayed diagnosis in GP practices</x:v>
      </x:c>
      <x:c r="H92" s="19" t="str">
        <x:v>https://www.hssib.org.uk/patient-safety-investigations/continuity-of-care-delayed-diagnosis-in-gp-practices/investigation-report/</x:v>
      </x:c>
      <x:c r="I92" s="19" t="str">
        <x:v>England</x:v>
      </x:c>
      <x:c r="J92" s="19" t="str">
        <x:v>GP / ED / out-of-hours / physiotherapy</x:v>
      </x:c>
      <x:c r="K92" s="19" t="str">
        <x:v>continuity failure</x:v>
      </x:c>
      <x:c r="L92" s="19" t="str">
        <x:v>metastatic cancer / severe back pain</x:v>
      </x:c>
      <x:c r="M92" s="19" t="str">
        <x:v>continuity failure</x:v>
      </x:c>
      <x:c r="N92" s="19" t="str">
        <x:v>Delayed metastatic cancer diagnosis after repeated back-pain presentations</x:v>
      </x:c>
      <x:c r="O92" s="19" t="str">
        <x:v>Multiple contacts occurred across ED, GP, nurse, physiotherapy and out-of-hours care; diagnosis came after repeated presentations.</x:v>
      </x:c>
      <x:c r="P92" s="19" t="str">
        <x:v>Red flags and repeated symptom pattern were not connected early enough.</x:v>
      </x:c>
      <x:c r="Q92" s="19" t="str">
        <x:v>about 8 months</x:v>
      </x:c>
      <x:c r="R92" s="19" t="str">
        <x:v>Same-symptom clustering, unresolved-problem tracking, named follow-up owner</x:v>
      </x:c>
      <x:c r="S92" s="19" t="str">
        <x:v>high</x:v>
      </x:c>
      <x:c r="T92" s="19" t="str">
        <x:v>02_extracted_evidence/cases_or_examples.csv</x:v>
      </x:c>
      <x:c r="U92" s="19" t="str">
        <x:v>research_evidence_package_global_health_issue_identification_2026-05-30.tar.gz::02_extracted_evidence/cases_or_examples.csv::C001</x:v>
      </x:c>
    </x:row>
    <x:row r="93">
      <x:c r="A93" s="19" t="str">
        <x:v>E_global</x:v>
      </x:c>
      <x:c r="B93" s="19" t="str">
        <x:v>research_evidence_package_global_health_issue_identification_2026-05-30.tar.gz</x:v>
      </x:c>
      <x:c r="C93" s="19" t="str">
        <x:v>Research E / global health issue identification</x:v>
      </x:c>
      <x:c r="D93" s="19" t="str">
        <x:v>case</x:v>
      </x:c>
      <x:c r="E93" s="19" t="str">
        <x:v>C002</x:v>
      </x:c>
      <x:c r="F93" s="19" t="str">
        <x:v>S006</x:v>
      </x:c>
      <x:c r="G93" s="19" t="str">
        <x:v>Patients being harmed due to repeated mistakes reading scans</x:v>
      </x:c>
      <x:c r="H93" s="19" t="str">
        <x:v>https://www.ombudsman.org.uk/news-and-blog/news/patients-being-harmed-due-repeated-mistakes-reading-scans</x:v>
      </x:c>
      <x:c r="I93" s="19" t="str">
        <x:v>UK</x:v>
      </x:c>
      <x:c r="J93" s="19" t="str">
        <x:v>imaging / hospital</x:v>
      </x:c>
      <x:c r="K93" s="19" t="str">
        <x:v>abnormal result missed</x:v>
      </x:c>
      <x:c r="L93" s="19" t="str">
        <x:v>cancer / scan abnormality</x:v>
      </x:c>
      <x:c r="M93" s="19" t="str">
        <x:v>abnormal result missed</x:v>
      </x:c>
      <x:c r="N93" s="19" t="str">
        <x:v>Missed bowel lesion on scan with delayed diagnosis</x:v>
      </x:c>
      <x:c r="O93" s="19" t="str">
        <x:v>Abnormality was not identified and later follow-up was delayed.</x:v>
      </x:c>
      <x:c r="P93" s="19" t="str">
        <x:v>Scan finding missed and result follow-up failed.</x:v>
      </x:c>
      <x:c r="Q93" s="19" t="str">
        <x:v>six-week delay in example described</x:v>
      </x:c>
      <x:c r="R93" s="19" t="str">
        <x:v>Closed-loop scan tracker with escalation for unreviewed abnormal results</x:v>
      </x:c>
      <x:c r="S93" s="19" t="str">
        <x:v>high</x:v>
      </x:c>
      <x:c r="T93" s="19" t="str">
        <x:v>02_extracted_evidence/cases_or_examples.csv</x:v>
      </x:c>
      <x:c r="U93" s="19" t="str">
        <x:v>research_evidence_package_global_health_issue_identification_2026-05-30.tar.gz::02_extracted_evidence/cases_or_examples.csv::C002</x:v>
      </x:c>
    </x:row>
    <x:row r="94">
      <x:c r="A94" s="19" t="str">
        <x:v>E_global</x:v>
      </x:c>
      <x:c r="B94" s="19" t="str">
        <x:v>research_evidence_package_global_health_issue_identification_2026-05-30.tar.gz</x:v>
      </x:c>
      <x:c r="C94" s="19" t="str">
        <x:v>Research E / global health issue identification</x:v>
      </x:c>
      <x:c r="D94" s="19" t="str">
        <x:v>case</x:v>
      </x:c>
      <x:c r="E94" s="19" t="str">
        <x:v>C003</x:v>
      </x:c>
      <x:c r="F94" s="19" t="str">
        <x:v>S007</x:v>
      </x:c>
      <x:c r="G94" s="19" t="str">
        <x:v>More action on sepsis needed as NHS Ombudsman still seeing same failings a decade on</x:v>
      </x:c>
      <x:c r="H94" s="19" t="str">
        <x:v>https://www.ombudsman.org.uk/news-and-blog/news/more-action-sepsis-needed-nhs-ombudsman-still-seeing-same-failings-decade</x:v>
      </x:c>
      <x:c r="I94" s="19" t="str">
        <x:v>UK</x:v>
      </x:c>
      <x:c r="J94" s="19" t="str">
        <x:v>hospital / ED / inpatient</x:v>
      </x:c>
      <x:c r="K94" s="19" t="str">
        <x:v>red flag missed</x:v>
      </x:c>
      <x:c r="L94" s="19" t="str">
        <x:v>sepsis</x:v>
      </x:c>
      <x:c r="M94" s="19" t="str">
        <x:v>red flag missed</x:v>
      </x:c>
      <x:c r="N94" s="19" t="str">
        <x:v>Sepsis recognition failures repeated across NHS complaints</x:v>
      </x:c>
      <x:c r="O94" s="19" t="str">
        <x:v>Delayed diagnosis/treatment and communication/follow-up failures recurred across cases.</x:v>
      </x:c>
      <x:c r="P94" s="19" t="str">
        <x:v>Sepsis red flags and family concerns were not acted on quickly enough.</x:v>
      </x:c>
      <x:c r="Q94" s="19" t="str">
        <x:v>hours to fatal deterioration in some examples</x:v>
      </x:c>
      <x:c r="R94" s="19" t="str">
        <x:v>Family concern escalation field and sepsis reassessment prompts</x:v>
      </x:c>
      <x:c r="S94" s="19" t="str">
        <x:v>high</x:v>
      </x:c>
      <x:c r="T94" s="19" t="str">
        <x:v>02_extracted_evidence/cases_or_examples.csv</x:v>
      </x:c>
      <x:c r="U94" s="19" t="str">
        <x:v>research_evidence_package_global_health_issue_identification_2026-05-30.tar.gz::02_extracted_evidence/cases_or_examples.csv::C003</x:v>
      </x:c>
    </x:row>
    <x:row r="95">
      <x:c r="A95" s="19" t="str">
        <x:v>E_global</x:v>
      </x:c>
      <x:c r="B95" s="19" t="str">
        <x:v>research_evidence_package_global_health_issue_identification_2026-05-30.tar.gz</x:v>
      </x:c>
      <x:c r="C95" s="19" t="str">
        <x:v>Research E / global health issue identification</x:v>
      </x:c>
      <x:c r="D95" s="19" t="str">
        <x:v>case</x:v>
      </x:c>
      <x:c r="E95" s="19" t="str">
        <x:v>C004</x:v>
      </x:c>
      <x:c r="F95" s="19" t="str">
        <x:v>S010</x:v>
      </x:c>
      <x:c r="G95" s="19" t="str">
        <x:v>Healthcare access and barriers among Bedouin communities in Israel</x:v>
      </x:c>
      <x:c r="H95" s="19" t="str">
        <x:v>https://link.springer.com/article/10.1186/s12939-025-02398-2</x:v>
      </x:c>
      <x:c r="I95" s="19" t="str">
        <x:v>Israel / Negev Bedouin</x:v>
      </x:c>
      <x:c r="J95" s="19" t="str">
        <x:v>community / primary care</x:v>
      </x:c>
      <x:c r="K95" s="19" t="str">
        <x:v>underserved access</x:v>
      </x:c>
      <x:c r="L95" s="19" t="str">
        <x:v>general health needs</x:v>
      </x:c>
      <x:c r="M95" s="19" t="str">
        <x:v>underserved access</x:v>
      </x:c>
      <x:c r="N95" s="19" t="str">
        <x:v>Bedouin community access and continuity barriers</x:v>
      </x:c>
      <x:c r="O95" s="19" t="str">
        <x:v>Physical access, health-literacy barriers, and out-of-system care complicate care continuity.</x:v>
      </x:c>
      <x:c r="P95" s="19" t="str">
        <x:v>Signals can be missed when care occurs outside the formal Israeli record system.</x:v>
      </x:c>
      <x:c r="Q95" s="19" t="str">
        <x:v>unknown</x:v>
      </x:c>
      <x:c r="R95" s="19" t="str">
        <x:v>Capture out-of-system visits and language/cultural access needs</x:v>
      </x:c>
      <x:c r="S95" s="19" t="str">
        <x:v>medium</x:v>
      </x:c>
      <x:c r="T95" s="19" t="str">
        <x:v>02_extracted_evidence/cases_or_examples.csv</x:v>
      </x:c>
      <x:c r="U95" s="19" t="str">
        <x:v>research_evidence_package_global_health_issue_identification_2026-05-30.tar.gz::02_extracted_evidence/cases_or_examples.csv::C004</x:v>
      </x:c>
    </x:row>
    <x:row r="96">
      <x:c r="A96" s="19" t="str">
        <x:v>E_global</x:v>
      </x:c>
      <x:c r="B96" s="19" t="str">
        <x:v>research_evidence_package_global_health_issue_identification_2026-05-30.tar.gz</x:v>
      </x:c>
      <x:c r="C96" s="19" t="str">
        <x:v>Research E / global health issue identification</x:v>
      </x:c>
      <x:c r="D96" s="19" t="str">
        <x:v>case</x:v>
      </x:c>
      <x:c r="E96" s="19" t="str">
        <x:v>C005</x:v>
      </x:c>
      <x:c r="F96" s="19" t="str">
        <x:v>S012</x:v>
      </x:c>
      <x:c r="G96" s="19" t="str">
        <x:v>Non-allopathic provider referral intervention for TB diagnosis</x:v>
      </x:c>
      <x:c r="H96" s="19" t="str">
        <x:v>https://journals.plos.org/globalpublichealth/article?id=10.1371%2Fjournal.pgph.0004416</x:v>
      </x:c>
      <x:c r="I96" s="19" t="str">
        <x:v>India</x:v>
      </x:c>
      <x:c r="J96" s="19" t="str">
        <x:v>community / informal / TB pathway</x:v>
      </x:c>
      <x:c r="K96" s="19" t="str">
        <x:v>successful community linkage</x:v>
      </x:c>
      <x:c r="L96" s="19" t="str">
        <x:v>TB-like symptoms</x:v>
      </x:c>
      <x:c r="M96" s="19" t="str">
        <x:v>successful community linkage</x:v>
      </x:c>
      <x:c r="N96" s="19" t="str">
        <x:v>Non-allopathic provider TB referral intervention</x:v>
      </x:c>
      <x:c r="O96" s="19" t="str">
        <x:v>Intervention linked these providers to referral and free chest x-ray.</x:v>
      </x:c>
      <x:c r="P96" s="19" t="str">
        <x:v>TB identification improved; diagnostic delay reduced.</x:v>
      </x:c>
      <x:c r="Q96" s="19" t="str">
        <x:v>8.6-day reduction</x:v>
      </x:c>
      <x:c r="R96" s="19" t="str">
        <x:v>Referral tools and diagnostic vouchers for informal/community providers</x:v>
      </x:c>
      <x:c r="S96" s="19" t="str">
        <x:v>high</x:v>
      </x:c>
      <x:c r="T96" s="19" t="str">
        <x:v>02_extracted_evidence/cases_or_examples.csv</x:v>
      </x:c>
      <x:c r="U96" s="19" t="str">
        <x:v>research_evidence_package_global_health_issue_identification_2026-05-30.tar.gz::02_extracted_evidence/cases_or_examples.csv::C005</x:v>
      </x:c>
    </x:row>
    <x:row r="97">
      <x:c r="A97" s="19" t="str">
        <x:v>E_global</x:v>
      </x:c>
      <x:c r="B97" s="19" t="str">
        <x:v>research_evidence_package_global_health_issue_identification_2026-05-30.tar.gz</x:v>
      </x:c>
      <x:c r="C97" s="19" t="str">
        <x:v>Research E / global health issue identification</x:v>
      </x:c>
      <x:c r="D97" s="19" t="str">
        <x:v>case</x:v>
      </x:c>
      <x:c r="E97" s="19" t="str">
        <x:v>C006</x:v>
      </x:c>
      <x:c r="F97" s="19" t="str">
        <x:v>S020</x:v>
      </x:c>
      <x:c r="G97" s="19" t="str">
        <x:v>Patients’ pathways to cancer diagnosis and treatment in Tanzania</x:v>
      </x:c>
      <x:c r="H97" s="19" t="str">
        <x:v>https://link.springer.com/article/10.1186/s12913-021-07438-5</x:v>
      </x:c>
      <x:c r="I97" s="19" t="str">
        <x:v>Tanzania</x:v>
      </x:c>
      <x:c r="J97" s="19" t="str">
        <x:v>low-resource cancer pathway</x:v>
      </x:c>
      <x:c r="K97" s="19" t="str">
        <x:v>low-resource diagnostic delay</x:v>
      </x:c>
      <x:c r="L97" s="19" t="str">
        <x:v>cancer symptoms</x:v>
      </x:c>
      <x:c r="M97" s="19" t="str">
        <x:v>low-resource diagnostic delay</x:v>
      </x:c>
      <x:c r="N97" s="19" t="str">
        <x:v>Tanzania cancer diagnostic journey</x:v>
      </x:c>
      <x:c r="O97" s="19" t="str">
        <x:v>Diagnostic capacity such as imaging/pathology was concentrated in higher-level centers and patients often self-referred.</x:v>
      </x:c>
      <x:c r="P97" s="19" t="str">
        <x:v>Cancer confirmation was delayed.</x:v>
      </x:c>
      <x:c r="Q97" s="19" t="str">
        <x:v>median 358 days</x:v>
      </x:c>
      <x:c r="R97" s="19" t="str">
        <x:v>Referral completion and diagnostic-capacity map</x:v>
      </x:c>
      <x:c r="S97" s="19" t="str">
        <x:v>high</x:v>
      </x:c>
      <x:c r="T97" s="19" t="str">
        <x:v>02_extracted_evidence/cases_or_examples.csv</x:v>
      </x:c>
      <x:c r="U97" s="19" t="str">
        <x:v>research_evidence_package_global_health_issue_identification_2026-05-30.tar.gz::02_extracted_evidence/cases_or_examples.csv::C006</x:v>
      </x:c>
    </x:row>
    <x:row r="98">
      <x:c r="A98" s="19" t="str">
        <x:v>E_global</x:v>
      </x:c>
      <x:c r="B98" s="19" t="str">
        <x:v>research_evidence_package_global_health_issue_identification_2026-05-30.tar.gz</x:v>
      </x:c>
      <x:c r="C98" s="19" t="str">
        <x:v>Research E / global health issue identification</x:v>
      </x:c>
      <x:c r="D98" s="19" t="str">
        <x:v>case</x:v>
      </x:c>
      <x:c r="E98" s="19" t="str">
        <x:v>C007</x:v>
      </x:c>
      <x:c r="F98" s="19" t="str">
        <x:v>S021</x:v>
      </x:c>
      <x:c r="G98" s="19" t="str">
        <x:v>WHO RAcE / iCCM programme</x:v>
      </x:c>
      <x:c r="H98" s="19" t="str">
        <x:v>https://www.who.int/teams/global-malaria-programme/case-management/community-based-case-management-race-programme</x:v>
      </x:c>
      <x:c r="I98" s="19" t="str">
        <x:v>DRC, Malawi, Mozambique, Niger, Nigeria</x:v>
      </x:c>
      <x:c r="J98" s="19" t="str">
        <x:v>community health / CHW</x:v>
      </x:c>
      <x:c r="K98" s="19" t="str">
        <x:v>community-health-worker system</x:v>
      </x:c>
      <x:c r="L98" s="19" t="str">
        <x:v>malaria, pneumonia, diarrhea in children under 5</x:v>
      </x:c>
      <x:c r="M98" s="19" t="str">
        <x:v>community-health-worker system</x:v>
      </x:c>
      <x:c r="N98" s="19" t="str">
        <x:v>WHO RAcE/iCCM CHW childhood illness workflow</x:v>
      </x:c>
      <x:c r="O98" s="19" t="str">
        <x:v>CHWs diagnosed, treated, and referred according to iCCM protocols.</x:v>
      </x:c>
      <x:c r="P98" s="19" t="str">
        <x:v>Danger signs and treatable childhood illnesses identified closer to community.</x:v>
      </x:c>
      <x:c r="Q98" s="19" t="str">
        <x:v>2013-2017 programme period</x:v>
      </x:c>
      <x:c r="R98" s="19" t="str">
        <x:v>Offline CHW protocols, stock status, and referral confirmation</x:v>
      </x:c>
      <x:c r="S98" s="19" t="str">
        <x:v>high</x:v>
      </x:c>
      <x:c r="T98" s="19" t="str">
        <x:v>02_extracted_evidence/cases_or_examples.csv</x:v>
      </x:c>
      <x:c r="U98" s="19" t="str">
        <x:v>research_evidence_package_global_health_issue_identification_2026-05-30.tar.gz::02_extracted_evidence/cases_or_examples.csv::C007</x:v>
      </x:c>
    </x:row>
    <x:row r="99">
      <x:c r="A99" s="19" t="str">
        <x:v>E_global</x:v>
      </x:c>
      <x:c r="B99" s="19" t="str">
        <x:v>research_evidence_package_global_health_issue_identification_2026-05-30.tar.gz</x:v>
      </x:c>
      <x:c r="C99" s="19" t="str">
        <x:v>Research E / global health issue identification</x:v>
      </x:c>
      <x:c r="D99" s="19" t="str">
        <x:v>case</x:v>
      </x:c>
      <x:c r="E99" s="19" t="str">
        <x:v>C008</x:v>
      </x:c>
      <x:c r="F99" s="19" t="str">
        <x:v>S026</x:v>
      </x:c>
      <x:c r="G99" s="19" t="str">
        <x:v>When health care harms: Addressing Indigenous-specific racism in Canada</x:v>
      </x:c>
      <x:c r="H99" s="19" t="str">
        <x:v>https://www.cpha.ca/when-health-care-harms-addressing-indigenous-specific-racism-canada</x:v>
      </x:c>
      <x:c r="I99" s="19" t="str">
        <x:v>Canada</x:v>
      </x:c>
      <x:c r="J99" s="19" t="str">
        <x:v>emergency department</x:v>
      </x:c>
      <x:c r="K99" s="19" t="str">
        <x:v>Indigenous-specific racism / triage failure</x:v>
      </x:c>
      <x:c r="L99" s="19" t="str">
        <x:v>treatable medical need / referral note</x:v>
      </x:c>
      <x:c r="M99" s="19" t="str">
        <x:v>Indigenous-specific racism / triage failure</x:v>
      </x:c>
      <x:c r="N99" s="19" t="str">
        <x:v>Brian Sinclair emergency department waiting-room death</x:v>
      </x:c>
      <x:c r="O99" s="19" t="str">
        <x:v>He waited 34 hours in the ED; staff reportedly assumed intoxication.</x:v>
      </x:c>
      <x:c r="P99" s="19" t="str">
        <x:v>Clinical need and referral note were not acted on.</x:v>
      </x:c>
      <x:c r="Q99" s="19" t="str">
        <x:v>34 hours</x:v>
      </x:c>
      <x:c r="R99" s="19" t="str">
        <x:v>Anti-bias triage audit, Indigenous liaison escalation, did-not-wait prevention</x:v>
      </x:c>
      <x:c r="S99" s="19" t="str">
        <x:v>medium</x:v>
      </x:c>
      <x:c r="T99" s="19" t="str">
        <x:v>02_extracted_evidence/cases_or_examples.csv</x:v>
      </x:c>
      <x:c r="U99" s="19" t="str">
        <x:v>research_evidence_package_global_health_issue_identification_2026-05-30.tar.gz::02_extracted_evidence/cases_or_examples.csv::C008</x:v>
      </x:c>
    </x:row>
    <x:row r="100">
      <x:c r="A100" s="19" t="str">
        <x:v>E_global</x:v>
      </x:c>
      <x:c r="B100" s="19" t="str">
        <x:v>research_evidence_package_global_health_issue_identification_2026-05-30.tar.gz</x:v>
      </x:c>
      <x:c r="C100" s="19" t="str">
        <x:v>Research E / global health issue identification</x:v>
      </x:c>
      <x:c r="D100" s="19" t="str">
        <x:v>case</x:v>
      </x:c>
      <x:c r="E100" s="19" t="str">
        <x:v>C009</x:v>
      </x:c>
      <x:c r="F100" s="19" t="str">
        <x:v>S028</x:v>
      </x:c>
      <x:c r="G100" s="19" t="str">
        <x:v>Transforming Emergency Departments towards Cultural Safety</x:v>
      </x:c>
      <x:c r="H100" s="19" t="str">
        <x:v>https://www.clinicalexcellence.qld.gov.au/improvement-exchange/transforming-eds-towards-cultural-safety-tecs</x:v>
      </x:c>
      <x:c r="I100" s="19" t="str">
        <x:v>Australia / Queensland</x:v>
      </x:c>
      <x:c r="J100" s="19" t="str">
        <x:v>emergency department</x:v>
      </x:c>
      <x:c r="K100" s="19" t="str">
        <x:v>cultural safety workflow</x:v>
      </x:c>
      <x:c r="L100" s="19" t="str">
        <x:v>ED presentations by Aboriginal and Torres Strait Islander patients</x:v>
      </x:c>
      <x:c r="M100" s="19" t="str">
        <x:v>cultural safety workflow</x:v>
      </x:c>
      <x:c r="N100" s="19" t="str">
        <x:v>Queensland ED cultural-safety transformation project</x:v>
      </x:c>
      <x:c r="O100" s="19" t="str">
        <x:v>Project focused on culturally and clinically appropriate care and reducing did-not-wait outcomes.</x:v>
      </x:c>
      <x:c r="P100" s="19" t="str">
        <x:v>Risk of leaving before diagnostic workup was targeted.</x:v>
      </x:c>
      <x:c r="Q100" s="19" t="str">
        <x:v>unknown</x:v>
      </x:c>
      <x:c r="R100" s="19" t="str">
        <x:v>Real-time liaison routing and cultural-safety workflow</x:v>
      </x:c>
      <x:c r="S100" s="19" t="str">
        <x:v>medium</x:v>
      </x:c>
      <x:c r="T100" s="19" t="str">
        <x:v>02_extracted_evidence/cases_or_examples.csv</x:v>
      </x:c>
      <x:c r="U100" s="19" t="str">
        <x:v>research_evidence_package_global_health_issue_identification_2026-05-30.tar.gz::02_extracted_evidence/cases_or_examples.csv::C009</x:v>
      </x:c>
    </x:row>
    <x:row r="101">
      <x:c r="A101" s="19" t="str">
        <x:v>E_global</x:v>
      </x:c>
      <x:c r="B101" s="19" t="str">
        <x:v>research_evidence_package_global_health_issue_identification_2026-05-30.tar.gz</x:v>
      </x:c>
      <x:c r="C101" s="19" t="str">
        <x:v>Research E / global health issue identification</x:v>
      </x:c>
      <x:c r="D101" s="19" t="str">
        <x:v>case</x:v>
      </x:c>
      <x:c r="E101" s="19" t="str">
        <x:v>C010</x:v>
      </x:c>
      <x:c r="F101" s="19" t="str">
        <x:v>S025</x:v>
      </x:c>
      <x:c r="G101" s="19" t="str">
        <x:v>Health Catch-UP migrant screening tool</x:v>
      </x:c>
      <x:c r="H101" s="19" t="str">
        <x:v>https://link.springer.com/article/10.1186/s12916-024-03713-4</x:v>
      </x:c>
      <x:c r="I101" s="19" t="str">
        <x:v>UK</x:v>
      </x:c>
      <x:c r="J101" s="19" t="str">
        <x:v>migrant/refugee primary care screening</x:v>
      </x:c>
      <x:c r="K101" s="19" t="str">
        <x:v>migrant health screening</x:v>
      </x:c>
      <x:c r="L101" s="19" t="str">
        <x:v>hepatitis C, diabetes risk, hypercholesterolemia, immunization gaps</x:v>
      </x:c>
      <x:c r="M101" s="19" t="str">
        <x:v>migrant health screening</x:v>
      </x:c>
      <x:c r="N101" s="19" t="str">
        <x:v>Health Catch-UP migrant screening</x:v>
      </x:c>
      <x:c r="O101" s="19" t="str">
        <x:v>EHR-integrated tool prompted screening.</x:v>
      </x:c>
      <x:c r="P101" s="19" t="str">
        <x:v>New conditions were identified and vaccination gaps surfaced.</x:v>
      </x:c>
      <x:c r="Q101" s="19" t="str">
        <x:v>unknown</x:v>
      </x:c>
      <x:c r="R101" s="19" t="str">
        <x:v>Migrant-specific EHR screening and vaccination reconstruction</x:v>
      </x:c>
      <x:c r="S101" s="19" t="str">
        <x:v>medium</x:v>
      </x:c>
      <x:c r="T101" s="19" t="str">
        <x:v>02_extracted_evidence/cases_or_examples.csv</x:v>
      </x:c>
      <x:c r="U101" s="19" t="str">
        <x:v>research_evidence_package_global_health_issue_identification_2026-05-30.tar.gz::02_extracted_evidence/cases_or_examples.csv::C010</x:v>
      </x:c>
    </x:row>
    <x:row r="102">
      <x:c r="A102" s="19" t="str">
        <x:v>E_global</x:v>
      </x:c>
      <x:c r="B102" s="19" t="str">
        <x:v>research_evidence_package_global_health_issue_identification_2026-05-30.tar.gz</x:v>
      </x:c>
      <x:c r="C102" s="19" t="str">
        <x:v>Research E / global health issue identification</x:v>
      </x:c>
      <x:c r="D102" s="19" t="str">
        <x:v>quote</x:v>
      </x:c>
      <x:c r="E102" s="19" t="str">
        <x:v>Q001</x:v>
      </x:c>
      <x:c r="F102" s="19" t="str">
        <x:v>S005</x:v>
      </x:c>
      <x:c r="G102" s="19" t="str">
        <x:v>Continuity of care: delayed diagnosis in GP practices</x:v>
      </x:c>
      <x:c r="H102" s="19" t="str">
        <x:v>https://www.hssib.org.uk/patient-safety-investigations/continuity-of-care-delayed-diagnosis-in-gp-practices/investigation-report/</x:v>
      </x:c>
      <x:c r="I102" s="19" t="str">
        <x:v>England</x:v>
      </x:c>
      <x:c r="J102" s="19" t="str">
        <x:v>primary care / GP</x:v>
      </x:c>
      <x:c r="K102" s="19" t="str">
        <x:v>continuity failure</x:v>
      </x:c>
      <x:c r="L102" s="19" t="str"/>
      <x:c r="M102" s="19" t="str">
        <x:v>continuity failure</x:v>
      </x:c>
      <x:c r="N102" s="19" t="str">
        <x:v>re-tell</x:v>
      </x:c>
      <x:c r="O102" s="19" t="str">
        <x:v>Shows patient voice around repeated-history burden.</x:v>
      </x:c>
      <x:c r="P102" s="19" t="str"/>
      <x:c r="Q102" s="19" t="str"/>
      <x:c r="R102" s="19" t="str"/>
      <x:c r="S102" s="19" t="str">
        <x:v>high</x:v>
      </x:c>
      <x:c r="T102" s="19" t="str">
        <x:v>02_extracted_evidence/quotes.csv</x:v>
      </x:c>
      <x:c r="U102" s="19" t="str">
        <x:v>research_evidence_package_global_health_issue_identification_2026-05-30.tar.gz::02_extracted_evidence/quotes.csv::Q001</x:v>
      </x:c>
    </x:row>
    <x:row r="103">
      <x:c r="A103" s="19" t="str">
        <x:v>E_global</x:v>
      </x:c>
      <x:c r="B103" s="19" t="str">
        <x:v>research_evidence_package_global_health_issue_identification_2026-05-30.tar.gz</x:v>
      </x:c>
      <x:c r="C103" s="19" t="str">
        <x:v>Research E / global health issue identification</x:v>
      </x:c>
      <x:c r="D103" s="19" t="str">
        <x:v>quote</x:v>
      </x:c>
      <x:c r="E103" s="19" t="str">
        <x:v>Q002</x:v>
      </x:c>
      <x:c r="F103" s="19" t="str">
        <x:v>S006</x:v>
      </x:c>
      <x:c r="G103" s="19" t="str">
        <x:v>Patients being harmed due to repeated mistakes reading scans</x:v>
      </x:c>
      <x:c r="H103" s="19" t="str">
        <x:v>https://www.ombudsman.org.uk/news-and-blog/news/patients-being-harmed-due-repeated-mistakes-reading-scans</x:v>
      </x:c>
      <x:c r="I103" s="19" t="str">
        <x:v>UK</x:v>
      </x:c>
      <x:c r="J103" s="19" t="str">
        <x:v>imaging / hospital</x:v>
      </x:c>
      <x:c r="K103" s="19" t="str">
        <x:v>doctor did not listen</x:v>
      </x:c>
      <x:c r="L103" s="19" t="str"/>
      <x:c r="M103" s="19" t="str">
        <x:v>doctor did not listen</x:v>
      </x:c>
      <x:c r="N103" s="19" t="str">
        <x:v>tried to get doctors to listen</x:v>
      </x:c>
      <x:c r="O103" s="19" t="str">
        <x:v>Shows communication/listening failure around missed imaging diagnosis.</x:v>
      </x:c>
      <x:c r="P103" s="19" t="str"/>
      <x:c r="Q103" s="19" t="str"/>
      <x:c r="R103" s="19" t="str"/>
      <x:c r="S103" s="19" t="str">
        <x:v>high</x:v>
      </x:c>
      <x:c r="T103" s="19" t="str">
        <x:v>02_extracted_evidence/quotes.csv</x:v>
      </x:c>
      <x:c r="U103" s="19" t="str">
        <x:v>research_evidence_package_global_health_issue_identification_2026-05-30.tar.gz::02_extracted_evidence/quotes.csv::Q002</x:v>
      </x:c>
    </x:row>
    <x:row r="104">
      <x:c r="A104" s="19" t="str">
        <x:v>E_global</x:v>
      </x:c>
      <x:c r="B104" s="19" t="str">
        <x:v>research_evidence_package_global_health_issue_identification_2026-05-30.tar.gz</x:v>
      </x:c>
      <x:c r="C104" s="19" t="str">
        <x:v>Research E / global health issue identification</x:v>
      </x:c>
      <x:c r="D104" s="19" t="str">
        <x:v>quote</x:v>
      </x:c>
      <x:c r="E104" s="19" t="str">
        <x:v>Q003</x:v>
      </x:c>
      <x:c r="F104" s="19" t="str">
        <x:v>S007</x:v>
      </x:c>
      <x:c r="G104" s="19" t="str">
        <x:v>More action on sepsis needed as NHS Ombudsman still seeing same failings a decade on</x:v>
      </x:c>
      <x:c r="H104" s="19" t="str">
        <x:v>https://www.ombudsman.org.uk/news-and-blog/news/more-action-sepsis-needed-nhs-ombudsman-still-seeing-same-failings-decade</x:v>
      </x:c>
      <x:c r="I104" s="19" t="str">
        <x:v>UK</x:v>
      </x:c>
      <x:c r="J104" s="19" t="str">
        <x:v>hospital / ED</x:v>
      </x:c>
      <x:c r="K104" s="19" t="str">
        <x:v>red flag missed</x:v>
      </x:c>
      <x:c r="L104" s="19" t="str"/>
      <x:c r="M104" s="19" t="str">
        <x:v>red flag missed</x:v>
      </x:c>
      <x:c r="N104" s="19" t="str">
        <x:v>recognized the signs</x:v>
      </x:c>
      <x:c r="O104" s="19" t="str">
        <x:v>Shows family perception that clinical red flags were visible but not acted on.</x:v>
      </x:c>
      <x:c r="P104" s="19" t="str"/>
      <x:c r="Q104" s="19" t="str"/>
      <x:c r="R104" s="19" t="str"/>
      <x:c r="S104" s="19" t="str">
        <x:v>high</x:v>
      </x:c>
      <x:c r="T104" s="19" t="str">
        <x:v>02_extracted_evidence/quotes.csv</x:v>
      </x:c>
      <x:c r="U104" s="19" t="str">
        <x:v>research_evidence_package_global_health_issue_identification_2026-05-30.tar.gz::02_extracted_evidence/quotes.csv::Q003</x:v>
      </x:c>
    </x:row>
    <x:row r="105">
      <x:c r="A105" s="19" t="str">
        <x:v>E_global</x:v>
      </x:c>
      <x:c r="B105" s="19" t="str">
        <x:v>research_evidence_package_global_health_issue_identification_2026-05-30.tar.gz</x:v>
      </x:c>
      <x:c r="C105" s="19" t="str">
        <x:v>Research E / global health issue identification</x:v>
      </x:c>
      <x:c r="D105" s="19" t="str">
        <x:v>metric</x:v>
      </x:c>
      <x:c r="E105" s="19" t="str">
        <x:v>M001</x:v>
      </x:c>
      <x:c r="F105" s="19" t="str">
        <x:v>S002</x:v>
      </x:c>
      <x:c r="G105" s="19" t="str">
        <x:v>The Economics of Diagnostic Safety</x:v>
      </x:c>
      <x:c r="H105" s="19" t="str">
        <x:v>https://www.oecd.org/en/publications/the-economics-of-diagnostic-safety_fc61057a-en.html</x:v>
      </x:c>
      <x:c r="I105" s="19" t="str">
        <x:v>OECD countries</x:v>
      </x:c>
      <x:c r="J105" s="19" t="str">
        <x:v>all care settings</x:v>
      </x:c>
      <x:c r="K105" s="19" t="str"/>
      <x:c r="L105" s="19" t="str">
        <x:v>inaccurate/delayed/wrong diagnoses</x:v>
      </x:c>
      <x:c r="M105" s="19" t="str"/>
      <x:c r="N105" s="19" t="str">
        <x:v>inaccurate/delayed/wrong diagnoses</x:v>
      </x:c>
      <x:c r="O105" s="19" t="str">
        <x:v>Shows diagnostic safety remains a high-income-system issue.</x:v>
      </x:c>
      <x:c r="P105" s="19" t="str"/>
      <x:c r="Q105" s="19" t="str">
        <x:v>2025</x:v>
      </x:c>
      <x:c r="R105" s="19" t="str"/>
      <x:c r="S105" s="19" t="str">
        <x:v>high</x:v>
      </x:c>
      <x:c r="T105" s="19" t="str">
        <x:v>02_extracted_evidence/statistics_or_metrics.csv</x:v>
      </x:c>
      <x:c r="U105" s="19" t="str">
        <x:v>research_evidence_package_global_health_issue_identification_2026-05-30.tar.gz::02_extracted_evidence/statistics_or_metrics.csv::M001</x:v>
      </x:c>
    </x:row>
    <x:row r="106">
      <x:c r="A106" s="19" t="str">
        <x:v>E_global</x:v>
      </x:c>
      <x:c r="B106" s="19" t="str">
        <x:v>research_evidence_package_global_health_issue_identification_2026-05-30.tar.gz</x:v>
      </x:c>
      <x:c r="C106" s="19" t="str">
        <x:v>Research E / global health issue identification</x:v>
      </x:c>
      <x:c r="D106" s="19" t="str">
        <x:v>metric</x:v>
      </x:c>
      <x:c r="E106" s="19" t="str">
        <x:v>M002</x:v>
      </x:c>
      <x:c r="F106" s="19" t="str">
        <x:v>S003</x:v>
      </x:c>
      <x:c r="G106" s="19" t="str">
        <x:v>Diagnostic Safety and Quality</x:v>
      </x:c>
      <x:c r="H106" s="19" t="str">
        <x:v>https://www.ahrq.gov/diagnostic-safety/index.html</x:v>
      </x:c>
      <x:c r="I106" s="19" t="str">
        <x:v>US</x:v>
      </x:c>
      <x:c r="J106" s="19" t="str">
        <x:v>all care settings</x:v>
      </x:c>
      <x:c r="K106" s="19" t="str"/>
      <x:c r="L106" s="19" t="str">
        <x:v>death or permanent disability from disease misdiagnosis</x:v>
      </x:c>
      <x:c r="M106" s="19" t="str"/>
      <x:c r="N106" s="19" t="str">
        <x:v>death or permanent disability from disease misdiagnosis</x:v>
      </x:c>
      <x:c r="O106" s="19" t="str">
        <x:v>Shows severity and scale of diagnostic harm.</x:v>
      </x:c>
      <x:c r="P106" s="19" t="str"/>
      <x:c r="Q106" s="19" t="str">
        <x:v>unknown</x:v>
      </x:c>
      <x:c r="R106" s="19" t="str"/>
      <x:c r="S106" s="19" t="str">
        <x:v>high</x:v>
      </x:c>
      <x:c r="T106" s="19" t="str">
        <x:v>02_extracted_evidence/statistics_or_metrics.csv</x:v>
      </x:c>
      <x:c r="U106" s="19" t="str">
        <x:v>research_evidence_package_global_health_issue_identification_2026-05-30.tar.gz::02_extracted_evidence/statistics_or_metrics.csv::M002</x:v>
      </x:c>
    </x:row>
    <x:row r="107">
      <x:c r="A107" s="19" t="str">
        <x:v>E_global</x:v>
      </x:c>
      <x:c r="B107" s="19" t="str">
        <x:v>research_evidence_package_global_health_issue_identification_2026-05-30.tar.gz</x:v>
      </x:c>
      <x:c r="C107" s="19" t="str">
        <x:v>Research E / global health issue identification</x:v>
      </x:c>
      <x:c r="D107" s="19" t="str">
        <x:v>metric</x:v>
      </x:c>
      <x:c r="E107" s="19" t="str">
        <x:v>M003</x:v>
      </x:c>
      <x:c r="F107" s="19" t="str">
        <x:v>S004</x:v>
      </x:c>
      <x:c r="G107" s="19" t="str">
        <x:v>Diagnostic Errors in the Emergency Department: A Systematic Review</x:v>
      </x:c>
      <x:c r="H107" s="19" t="str">
        <x:v>https://psnet.ahrq.gov/issue/diagnostic-errors-emergency-department-systematic-review?utm_source=chatgpt.com</x:v>
      </x:c>
      <x:c r="I107" s="19" t="str">
        <x:v>US</x:v>
      </x:c>
      <x:c r="J107" s="19" t="str">
        <x:v>emergency department</x:v>
      </x:c>
      <x:c r="K107" s="19" t="str"/>
      <x:c r="L107" s="19" t="str">
        <x:v>incorrect ED diagnosis</x:v>
      </x:c>
      <x:c r="M107" s="19" t="str"/>
      <x:c r="N107" s="19" t="str">
        <x:v>incorrect ED diagnosis</x:v>
      </x:c>
      <x:c r="O107" s="19" t="str">
        <x:v>Shows ED diagnosis has high miss risk.</x:v>
      </x:c>
      <x:c r="P107" s="19" t="str"/>
      <x:c r="Q107" s="19" t="str">
        <x:v>unknown</x:v>
      </x:c>
      <x:c r="R107" s="19" t="str"/>
      <x:c r="S107" s="19" t="str">
        <x:v>high</x:v>
      </x:c>
      <x:c r="T107" s="19" t="str">
        <x:v>02_extracted_evidence/statistics_or_metrics.csv</x:v>
      </x:c>
      <x:c r="U107" s="19" t="str">
        <x:v>research_evidence_package_global_health_issue_identification_2026-05-30.tar.gz::02_extracted_evidence/statistics_or_metrics.csv::M003</x:v>
      </x:c>
    </x:row>
    <x:row r="108">
      <x:c r="A108" s="19" t="str">
        <x:v>E_global</x:v>
      </x:c>
      <x:c r="B108" s="19" t="str">
        <x:v>research_evidence_package_global_health_issue_identification_2026-05-30.tar.gz</x:v>
      </x:c>
      <x:c r="C108" s="19" t="str">
        <x:v>Research E / global health issue identification</x:v>
      </x:c>
      <x:c r="D108" s="19" t="str">
        <x:v>metric</x:v>
      </x:c>
      <x:c r="E108" s="19" t="str">
        <x:v>M004</x:v>
      </x:c>
      <x:c r="F108" s="19" t="str">
        <x:v>S012</x:v>
      </x:c>
      <x:c r="G108" s="19" t="str">
        <x:v>Non-allopathic provider referral intervention for TB diagnosis</x:v>
      </x:c>
      <x:c r="H108" s="19" t="str">
        <x:v>https://journals.plos.org/globalpublichealth/article?id=10.1371%2Fjournal.pgph.0004416</x:v>
      </x:c>
      <x:c r="I108" s="19" t="str">
        <x:v>India</x:v>
      </x:c>
      <x:c r="J108" s="19" t="str">
        <x:v>community / TB pathway</x:v>
      </x:c>
      <x:c r="K108" s="19" t="str"/>
      <x:c r="L108" s="19" t="str">
        <x:v>TB diagnostic delay reduction</x:v>
      </x:c>
      <x:c r="M108" s="19" t="str"/>
      <x:c r="N108" s="19" t="str">
        <x:v>TB diagnostic delay reduction</x:v>
      </x:c>
      <x:c r="O108" s="19" t="str">
        <x:v>Shows nontraditional first contacts can be linked into diagnostic systems.</x:v>
      </x:c>
      <x:c r="P108" s="19" t="str"/>
      <x:c r="Q108" s="19" t="str">
        <x:v>2026</x:v>
      </x:c>
      <x:c r="R108" s="19" t="str"/>
      <x:c r="S108" s="19" t="str">
        <x:v>high</x:v>
      </x:c>
      <x:c r="T108" s="19" t="str">
        <x:v>02_extracted_evidence/statistics_or_metrics.csv</x:v>
      </x:c>
      <x:c r="U108" s="19" t="str">
        <x:v>research_evidence_package_global_health_issue_identification_2026-05-30.tar.gz::02_extracted_evidence/statistics_or_metrics.csv::M004</x:v>
      </x:c>
    </x:row>
    <x:row r="109">
      <x:c r="A109" s="19" t="str">
        <x:v>E_global</x:v>
      </x:c>
      <x:c r="B109" s="19" t="str">
        <x:v>research_evidence_package_global_health_issue_identification_2026-05-30.tar.gz</x:v>
      </x:c>
      <x:c r="C109" s="19" t="str">
        <x:v>Research E / global health issue identification</x:v>
      </x:c>
      <x:c r="D109" s="19" t="str">
        <x:v>metric</x:v>
      </x:c>
      <x:c r="E109" s="19" t="str">
        <x:v>M005</x:v>
      </x:c>
      <x:c r="F109" s="19" t="str">
        <x:v>S020</x:v>
      </x:c>
      <x:c r="G109" s="19" t="str">
        <x:v>Patients’ pathways to cancer diagnosis and treatment in Tanzania</x:v>
      </x:c>
      <x:c r="H109" s="19" t="str">
        <x:v>https://link.springer.com/article/10.1186/s12913-021-07438-5</x:v>
      </x:c>
      <x:c r="I109" s="19" t="str">
        <x:v>Tanzania</x:v>
      </x:c>
      <x:c r="J109" s="19" t="str">
        <x:v>cancer diagnosis pathway</x:v>
      </x:c>
      <x:c r="K109" s="19" t="str"/>
      <x:c r="L109" s="19" t="str">
        <x:v>median delay from first symptom to cancer diagnosis</x:v>
      </x:c>
      <x:c r="M109" s="19" t="str"/>
      <x:c r="N109" s="19" t="str">
        <x:v>median delay from first symptom to cancer diagnosis</x:v>
      </x:c>
      <x:c r="O109" s="19" t="str">
        <x:v>Shows severe delay in low-resource cancer diagnosis.</x:v>
      </x:c>
      <x:c r="P109" s="19" t="str"/>
      <x:c r="Q109" s="19" t="str">
        <x:v>2022</x:v>
      </x:c>
      <x:c r="R109" s="19" t="str"/>
      <x:c r="S109" s="19" t="str">
        <x:v>high</x:v>
      </x:c>
      <x:c r="T109" s="19" t="str">
        <x:v>02_extracted_evidence/statistics_or_metrics.csv</x:v>
      </x:c>
      <x:c r="U109" s="19" t="str">
        <x:v>research_evidence_package_global_health_issue_identification_2026-05-30.tar.gz::02_extracted_evidence/statistics_or_metrics.csv::M005</x:v>
      </x:c>
    </x:row>
    <x:row r="110">
      <x:c r="A110" s="19" t="str">
        <x:v>E_global</x:v>
      </x:c>
      <x:c r="B110" s="19" t="str">
        <x:v>research_evidence_package_global_health_issue_identification_2026-05-30.tar.gz</x:v>
      </x:c>
      <x:c r="C110" s="19" t="str">
        <x:v>Research E / global health issue identification</x:v>
      </x:c>
      <x:c r="D110" s="19" t="str">
        <x:v>metric</x:v>
      </x:c>
      <x:c r="E110" s="19" t="str">
        <x:v>M006</x:v>
      </x:c>
      <x:c r="F110" s="19" t="str">
        <x:v>S027</x:v>
      </x:c>
      <x:c r="G110" s="19" t="str">
        <x:v>Cultural safety in health care for Indigenous Australians: monitoring framework</x:v>
      </x:c>
      <x:c r="H110" s="19" t="str">
        <x:v>https://www.aihw.gov.au/reports/indigenous-australians/cultural-safety-health-care-framework/contents/summary</x:v>
      </x:c>
      <x:c r="I110" s="19" t="str">
        <x:v>Australia</x:v>
      </x:c>
      <x:c r="J110" s="19" t="str">
        <x:v>all settings</x:v>
      </x:c>
      <x:c r="K110" s="19" t="str"/>
      <x:c r="L110" s="19" t="str">
        <x:v>needed services not accessed for cultural reasons</x:v>
      </x:c>
      <x:c r="M110" s="19" t="str"/>
      <x:c r="N110" s="19" t="str">
        <x:v>needed services not accessed for cultural reasons</x:v>
      </x:c>
      <x:c r="O110" s="19" t="str">
        <x:v>Shows cultural safety affects entry into care.</x:v>
      </x:c>
      <x:c r="P110" s="19" t="str"/>
      <x:c r="Q110" s="19" t="str">
        <x:v>unknown</x:v>
      </x:c>
      <x:c r="R110" s="19" t="str"/>
      <x:c r="S110" s="19" t="str">
        <x:v>high</x:v>
      </x:c>
      <x:c r="T110" s="19" t="str">
        <x:v>02_extracted_evidence/statistics_or_metrics.csv</x:v>
      </x:c>
      <x:c r="U110" s="19" t="str">
        <x:v>research_evidence_package_global_health_issue_identification_2026-05-30.tar.gz::02_extracted_evidence/statistics_or_metrics.csv::M006</x:v>
      </x:c>
    </x:row>
    <x:row r="111">
      <x:c r="A111" s="19" t="str">
        <x:v>E_global</x:v>
      </x:c>
      <x:c r="B111" s="19" t="str">
        <x:v>research_evidence_package_global_health_issue_identification_2026-05-30.tar.gz</x:v>
      </x:c>
      <x:c r="C111" s="19" t="str">
        <x:v>Research E / global health issue identification</x:v>
      </x:c>
      <x:c r="D111" s="19" t="str">
        <x:v>metric</x:v>
      </x:c>
      <x:c r="E111" s="19" t="str">
        <x:v>M007</x:v>
      </x:c>
      <x:c r="F111" s="19" t="str">
        <x:v>S021</x:v>
      </x:c>
      <x:c r="G111" s="19" t="str">
        <x:v>WHO RAcE / iCCM programme</x:v>
      </x:c>
      <x:c r="H111" s="19" t="str">
        <x:v>https://www.who.int/teams/global-malaria-programme/case-management/community-based-case-management-race-programme</x:v>
      </x:c>
      <x:c r="I111" s="19" t="str">
        <x:v>DRC, Malawi, Mozambique, Niger, Nigeria</x:v>
      </x:c>
      <x:c r="J111" s="19" t="str">
        <x:v>community health</x:v>
      </x:c>
      <x:c r="K111" s="19" t="str"/>
      <x:c r="L111" s="19" t="str">
        <x:v>children diagnosed/treated in RAcE/iCCM</x:v>
      </x:c>
      <x:c r="M111" s="19" t="str"/>
      <x:c r="N111" s="19" t="str">
        <x:v>children diagnosed/treated in RAcE/iCCM</x:v>
      </x:c>
      <x:c r="O111" s="19" t="str">
        <x:v>Shows scale of CHW diagnostic/treatment workflow.</x:v>
      </x:c>
      <x:c r="P111" s="19" t="str"/>
      <x:c r="Q111" s="19" t="str">
        <x:v>2013-2017</x:v>
      </x:c>
      <x:c r="R111" s="19" t="str"/>
      <x:c r="S111" s="19" t="str">
        <x:v>high</x:v>
      </x:c>
      <x:c r="T111" s="19" t="str">
        <x:v>02_extracted_evidence/statistics_or_metrics.csv</x:v>
      </x:c>
      <x:c r="U111" s="19" t="str">
        <x:v>research_evidence_package_global_health_issue_identification_2026-05-30.tar.gz::02_extracted_evidence/statistics_or_metrics.csv::M007</x:v>
      </x:c>
    </x:row>
    <x:row r="112">
      <x:c r="A112" s="19" t="str">
        <x:v>E_global</x:v>
      </x:c>
      <x:c r="B112" s="19" t="str">
        <x:v>research_evidence_package_global_health_issue_identification_2026-05-30.tar.gz</x:v>
      </x:c>
      <x:c r="C112" s="19" t="str">
        <x:v>Research E / global health issue identification</x:v>
      </x:c>
      <x:c r="D112" s="19" t="str">
        <x:v>fact</x:v>
      </x:c>
      <x:c r="E112" s="19" t="str">
        <x:v>F001</x:v>
      </x:c>
      <x:c r="F112" s="19" t="str">
        <x:v>S001</x:v>
      </x:c>
      <x:c r="G112" s="19" t="str">
        <x:v>Improving Diagnosis in Health Care</x:v>
      </x:c>
      <x:c r="H112" s="19" t="str">
        <x:v>https://www.nationalacademies.org/projects/IOM-HCS-13-03/publication/21794</x:v>
      </x:c>
      <x:c r="I112" s="19" t="str">
        <x:v>US / generalizable</x:v>
      </x:c>
      <x:c r="J112" s="19" t="str">
        <x:v>all care settings</x:v>
      </x:c>
      <x:c r="K112" s="19" t="str">
        <x:v>diagnostic safety</x:v>
      </x:c>
      <x:c r="L112" s="19" t="str"/>
      <x:c r="M112" s="19" t="str">
        <x:v>diagnostic safety</x:v>
      </x:c>
      <x:c r="N112" s="19" t="str">
        <x:v>Diagnosis is a complex collaborative process involving patients, families, clinicians, systems, and tools.</x:v>
      </x:c>
      <x:c r="O112" s="19" t="str">
        <x:v>Used as conceptual anchor for global diagnostic workflows.</x:v>
      </x:c>
      <x:c r="P112" s="19" t="str"/>
      <x:c r="Q112" s="19" t="str"/>
      <x:c r="R112" s="19" t="str"/>
      <x:c r="S112" s="19" t="str">
        <x:v>high</x:v>
      </x:c>
      <x:c r="T112" s="19" t="str">
        <x:v>02_extracted_evidence/facts.csv</x:v>
      </x:c>
      <x:c r="U112" s="19" t="str">
        <x:v>research_evidence_package_global_health_issue_identification_2026-05-30.tar.gz::02_extracted_evidence/facts.csv::F001</x:v>
      </x:c>
    </x:row>
    <x:row r="113">
      <x:c r="A113" s="19" t="str">
        <x:v>E_global</x:v>
      </x:c>
      <x:c r="B113" s="19" t="str">
        <x:v>research_evidence_package_global_health_issue_identification_2026-05-30.tar.gz</x:v>
      </x:c>
      <x:c r="C113" s="19" t="str">
        <x:v>Research E / global health issue identification</x:v>
      </x:c>
      <x:c r="D113" s="19" t="str">
        <x:v>fact</x:v>
      </x:c>
      <x:c r="E113" s="19" t="str">
        <x:v>F002</x:v>
      </x:c>
      <x:c r="F113" s="19" t="str">
        <x:v>S002</x:v>
      </x:c>
      <x:c r="G113" s="19" t="str">
        <x:v>The Economics of Diagnostic Safety</x:v>
      </x:c>
      <x:c r="H113" s="19" t="str">
        <x:v>https://www.oecd.org/en/publications/the-economics-of-diagnostic-safety_fc61057a-en.html</x:v>
      </x:c>
      <x:c r="I113" s="19" t="str">
        <x:v>OECD countries</x:v>
      </x:c>
      <x:c r="J113" s="19" t="str">
        <x:v>all care settings</x:v>
      </x:c>
      <x:c r="K113" s="19" t="str">
        <x:v>diagnostic safety metric</x:v>
      </x:c>
      <x:c r="L113" s="19" t="str"/>
      <x:c r="M113" s="19" t="str">
        <x:v>diagnostic safety metric</x:v>
      </x:c>
      <x:c r="N113" s="19" t="str">
        <x:v>OECD report estimates that up to 15% of diagnoses in OECD countries may be inaccurate, delayed, or wrong.</x:v>
      </x:c>
      <x:c r="O113" s="19" t="str">
        <x:v>Used to frame diagnostic safety as a high-income-system issue too.</x:v>
      </x:c>
      <x:c r="P113" s="19" t="str"/>
      <x:c r="Q113" s="19" t="str"/>
      <x:c r="R113" s="19" t="str"/>
      <x:c r="S113" s="19" t="str">
        <x:v>high</x:v>
      </x:c>
      <x:c r="T113" s="19" t="str">
        <x:v>02_extracted_evidence/facts.csv</x:v>
      </x:c>
      <x:c r="U113" s="19" t="str">
        <x:v>research_evidence_package_global_health_issue_identification_2026-05-30.tar.gz::02_extracted_evidence/facts.csv::F002</x:v>
      </x:c>
    </x:row>
    <x:row r="114">
      <x:c r="A114" s="19" t="str">
        <x:v>E_global</x:v>
      </x:c>
      <x:c r="B114" s="19" t="str">
        <x:v>research_evidence_package_global_health_issue_identification_2026-05-30.tar.gz</x:v>
      </x:c>
      <x:c r="C114" s="19" t="str">
        <x:v>Research E / global health issue identification</x:v>
      </x:c>
      <x:c r="D114" s="19" t="str">
        <x:v>fact</x:v>
      </x:c>
      <x:c r="E114" s="19" t="str">
        <x:v>F003</x:v>
      </x:c>
      <x:c r="F114" s="19" t="str">
        <x:v>S003</x:v>
      </x:c>
      <x:c r="G114" s="19" t="str">
        <x:v>Diagnostic Safety and Quality</x:v>
      </x:c>
      <x:c r="H114" s="19" t="str">
        <x:v>https://www.ahrq.gov/diagnostic-safety/index.html</x:v>
      </x:c>
      <x:c r="I114" s="19" t="str">
        <x:v>US</x:v>
      </x:c>
      <x:c r="J114" s="19" t="str">
        <x:v>all care settings</x:v>
      </x:c>
      <x:c r="K114" s="19" t="str">
        <x:v>diagnostic harm burden</x:v>
      </x:c>
      <x:c r="L114" s="19" t="str"/>
      <x:c r="M114" s="19" t="str">
        <x:v>diagnostic harm burden</x:v>
      </x:c>
      <x:c r="N114" s="19" t="str">
        <x:v>AHRQ reports an estimate of 795,000 Americans annually dying or becoming permanently disabled from disease misdiagnosis.</x:v>
      </x:c>
      <x:c r="O114" s="19" t="str">
        <x:v>Used as US burden metric.</x:v>
      </x:c>
      <x:c r="P114" s="19" t="str"/>
      <x:c r="Q114" s="19" t="str"/>
      <x:c r="R114" s="19" t="str"/>
      <x:c r="S114" s="19" t="str">
        <x:v>high</x:v>
      </x:c>
      <x:c r="T114" s="19" t="str">
        <x:v>02_extracted_evidence/facts.csv</x:v>
      </x:c>
      <x:c r="U114" s="19" t="str">
        <x:v>research_evidence_package_global_health_issue_identification_2026-05-30.tar.gz::02_extracted_evidence/facts.csv::F003</x:v>
      </x:c>
    </x:row>
    <x:row r="115">
      <x:c r="A115" s="19" t="str">
        <x:v>E_global</x:v>
      </x:c>
      <x:c r="B115" s="19" t="str">
        <x:v>research_evidence_package_global_health_issue_identification_2026-05-30.tar.gz</x:v>
      </x:c>
      <x:c r="C115" s="19" t="str">
        <x:v>Research E / global health issue identification</x:v>
      </x:c>
      <x:c r="D115" s="19" t="str">
        <x:v>fact</x:v>
      </x:c>
      <x:c r="E115" s="19" t="str">
        <x:v>F004</x:v>
      </x:c>
      <x:c r="F115" s="19" t="str">
        <x:v>S004</x:v>
      </x:c>
      <x:c r="G115" s="19" t="str">
        <x:v>Diagnostic Errors in the Emergency Department: A Systematic Review</x:v>
      </x:c>
      <x:c r="H115" s="19" t="str">
        <x:v>https://psnet.ahrq.gov/issue/diagnostic-errors-emergency-department-systematic-review?utm_source=chatgpt.com</x:v>
      </x:c>
      <x:c r="I115" s="19" t="str">
        <x:v>US</x:v>
      </x:c>
      <x:c r="J115" s="19" t="str">
        <x:v>emergency department</x:v>
      </x:c>
      <x:c r="K115" s="19" t="str">
        <x:v>ED diagnostic error</x:v>
      </x:c>
      <x:c r="L115" s="19" t="str"/>
      <x:c r="M115" s="19" t="str">
        <x:v>ED diagnostic error</x:v>
      </x:c>
      <x:c r="N115" s="19" t="str">
        <x:v>AHRQ PSNet ED review summary estimated roughly 1 in 18 ED patients receive an incorrect diagnosis.</x:v>
      </x:c>
      <x:c r="O115" s="19" t="str">
        <x:v>Emergency department diagnostic safety metric.</x:v>
      </x:c>
      <x:c r="P115" s="19" t="str"/>
      <x:c r="Q115" s="19" t="str"/>
      <x:c r="R115" s="19" t="str"/>
      <x:c r="S115" s="19" t="str">
        <x:v>high</x:v>
      </x:c>
      <x:c r="T115" s="19" t="str">
        <x:v>02_extracted_evidence/facts.csv</x:v>
      </x:c>
      <x:c r="U115" s="19" t="str">
        <x:v>research_evidence_package_global_health_issue_identification_2026-05-30.tar.gz::02_extracted_evidence/facts.csv::F004</x:v>
      </x:c>
    </x:row>
    <x:row r="116">
      <x:c r="A116" s="19" t="str">
        <x:v>E_global</x:v>
      </x:c>
      <x:c r="B116" s="19" t="str">
        <x:v>research_evidence_package_global_health_issue_identification_2026-05-30.tar.gz</x:v>
      </x:c>
      <x:c r="C116" s="19" t="str">
        <x:v>Research E / global health issue identification</x:v>
      </x:c>
      <x:c r="D116" s="19" t="str">
        <x:v>fact</x:v>
      </x:c>
      <x:c r="E116" s="19" t="str">
        <x:v>F005</x:v>
      </x:c>
      <x:c r="F116" s="19" t="str">
        <x:v>S005</x:v>
      </x:c>
      <x:c r="G116" s="19" t="str">
        <x:v>Continuity of care: delayed diagnosis in GP practices</x:v>
      </x:c>
      <x:c r="H116" s="19" t="str">
        <x:v>https://www.hssib.org.uk/patient-safety-investigations/continuity-of-care-delayed-diagnosis-in-gp-practices/investigation-report/</x:v>
      </x:c>
      <x:c r="I116" s="19" t="str">
        <x:v>England</x:v>
      </x:c>
      <x:c r="J116" s="19" t="str">
        <x:v>primary care / GP</x:v>
      </x:c>
      <x:c r="K116" s="19" t="str">
        <x:v>continuity failure</x:v>
      </x:c>
      <x:c r="L116" s="19" t="str"/>
      <x:c r="M116" s="19" t="str">
        <x:v>continuity failure</x:v>
      </x:c>
      <x:c r="N116" s="19" t="str">
        <x:v>HSSIB found GP systems did not reliably surface unresolved symptoms or repeated visits across different clinicians.</x:v>
      </x:c>
      <x:c r="O116" s="19" t="str">
        <x:v>Used for UK GP continuity black zone.</x:v>
      </x:c>
      <x:c r="P116" s="19" t="str"/>
      <x:c r="Q116" s="19" t="str"/>
      <x:c r="R116" s="19" t="str"/>
      <x:c r="S116" s="19" t="str">
        <x:v>high</x:v>
      </x:c>
      <x:c r="T116" s="19" t="str">
        <x:v>02_extracted_evidence/facts.csv</x:v>
      </x:c>
      <x:c r="U116" s="19" t="str">
        <x:v>research_evidence_package_global_health_issue_identification_2026-05-30.tar.gz::02_extracted_evidence/facts.csv::F005</x:v>
      </x:c>
    </x:row>
    <x:row r="117">
      <x:c r="A117" s="19" t="str">
        <x:v>E_global</x:v>
      </x:c>
      <x:c r="B117" s="19" t="str">
        <x:v>research_evidence_package_global_health_issue_identification_2026-05-30.tar.gz</x:v>
      </x:c>
      <x:c r="C117" s="19" t="str">
        <x:v>Research E / global health issue identification</x:v>
      </x:c>
      <x:c r="D117" s="19" t="str">
        <x:v>fact</x:v>
      </x:c>
      <x:c r="E117" s="19" t="str">
        <x:v>F006</x:v>
      </x:c>
      <x:c r="F117" s="19" t="str">
        <x:v>S006</x:v>
      </x:c>
      <x:c r="G117" s="19" t="str">
        <x:v>Patients being harmed due to repeated mistakes reading scans</x:v>
      </x:c>
      <x:c r="H117" s="19" t="str">
        <x:v>https://www.ombudsman.org.uk/news-and-blog/news/patients-being-harmed-due-repeated-mistakes-reading-scans</x:v>
      </x:c>
      <x:c r="I117" s="19" t="str">
        <x:v>UK</x:v>
      </x:c>
      <x:c r="J117" s="19" t="str">
        <x:v>imaging / hospital</x:v>
      </x:c>
      <x:c r="K117" s="19" t="str">
        <x:v>diagnostic result follow-up</x:v>
      </x:c>
      <x:c r="L117" s="19" t="str"/>
      <x:c r="M117" s="19" t="str">
        <x:v>diagnostic result follow-up</x:v>
      </x:c>
      <x:c r="N117" s="19" t="str">
        <x:v>UK ombudsman identified repeated scan-reading and scan-follow-up failures, including abnormality not identified and results not properly followed up.</x:v>
      </x:c>
      <x:c r="O117" s="19" t="str">
        <x:v>Used for abnormal-result closure black zone.</x:v>
      </x:c>
      <x:c r="P117" s="19" t="str"/>
      <x:c r="Q117" s="19" t="str"/>
      <x:c r="R117" s="19" t="str"/>
      <x:c r="S117" s="19" t="str">
        <x:v>high</x:v>
      </x:c>
      <x:c r="T117" s="19" t="str">
        <x:v>02_extracted_evidence/facts.csv</x:v>
      </x:c>
      <x:c r="U117" s="19" t="str">
        <x:v>research_evidence_package_global_health_issue_identification_2026-05-30.tar.gz::02_extracted_evidence/facts.csv::F006</x:v>
      </x:c>
    </x:row>
    <x:row r="118">
      <x:c r="A118" s="19" t="str">
        <x:v>E_global</x:v>
      </x:c>
      <x:c r="B118" s="19" t="str">
        <x:v>research_evidence_package_global_health_issue_identification_2026-05-30.tar.gz</x:v>
      </x:c>
      <x:c r="C118" s="19" t="str">
        <x:v>Research E / global health issue identification</x:v>
      </x:c>
      <x:c r="D118" s="19" t="str">
        <x:v>fact</x:v>
      </x:c>
      <x:c r="E118" s="19" t="str">
        <x:v>F007</x:v>
      </x:c>
      <x:c r="F118" s="19" t="str">
        <x:v>S008</x:v>
      </x:c>
      <x:c r="G118" s="19" t="str">
        <x:v>International Health Care System Profiles: Israel</x:v>
      </x:c>
      <x:c r="H118" s="19" t="str">
        <x:v>https://www.commonwealthfund.org/international-health-policy-center/countries/israel</x:v>
      </x:c>
      <x:c r="I118" s="19" t="str">
        <x:v>Israel</x:v>
      </x:c>
      <x:c r="J118" s="19" t="str">
        <x:v>primary care / specialist care</x:v>
      </x:c>
      <x:c r="K118" s="19" t="str">
        <x:v>health-system structure</x:v>
      </x:c>
      <x:c r="L118" s="19" t="str"/>
      <x:c r="M118" s="19" t="str">
        <x:v>health-system structure</x:v>
      </x:c>
      <x:c r="N118" s="19" t="str">
        <x:v>Israel has universal NHI coverage through four competing nonprofit health plans with strong health-plan EHR integration.</x:v>
      </x:c>
      <x:c r="O118" s="19" t="str">
        <x:v>Used for Israel integrated health-plan model.</x:v>
      </x:c>
      <x:c r="P118" s="19" t="str"/>
      <x:c r="Q118" s="19" t="str"/>
      <x:c r="R118" s="19" t="str"/>
      <x:c r="S118" s="19" t="str">
        <x:v>high</x:v>
      </x:c>
      <x:c r="T118" s="19" t="str">
        <x:v>02_extracted_evidence/facts.csv</x:v>
      </x:c>
      <x:c r="U118" s="19" t="str">
        <x:v>research_evidence_package_global_health_issue_identification_2026-05-30.tar.gz::02_extracted_evidence/facts.csv::F007</x:v>
      </x:c>
    </x:row>
    <x:row r="119">
      <x:c r="A119" s="19" t="str">
        <x:v>E_global</x:v>
      </x:c>
      <x:c r="B119" s="19" t="str">
        <x:v>research_evidence_package_global_health_issue_identification_2026-05-30.tar.gz</x:v>
      </x:c>
      <x:c r="C119" s="19" t="str">
        <x:v>Research E / global health issue identification</x:v>
      </x:c>
      <x:c r="D119" s="19" t="str">
        <x:v>fact</x:v>
      </x:c>
      <x:c r="E119" s="19" t="str">
        <x:v>F008</x:v>
      </x:c>
      <x:c r="F119" s="19" t="str">
        <x:v>S010</x:v>
      </x:c>
      <x:c r="G119" s="19" t="str">
        <x:v>Healthcare access and barriers among Bedouin communities in Israel</x:v>
      </x:c>
      <x:c r="H119" s="19" t="str">
        <x:v>https://link.springer.com/article/10.1186/s12939-025-02398-2</x:v>
      </x:c>
      <x:c r="I119" s="19" t="str">
        <x:v>Israel / Negev Bedouin</x:v>
      </x:c>
      <x:c r="J119" s="19" t="str">
        <x:v>community / primary care</x:v>
      </x:c>
      <x:c r="K119" s="19" t="str">
        <x:v>underserved access</x:v>
      </x:c>
      <x:c r="L119" s="19" t="str"/>
      <x:c r="M119" s="19" t="str">
        <x:v>underserved access</x:v>
      </x:c>
      <x:c r="N119" s="19" t="str">
        <x:v>Bedouin communities in Israel face physical access, health-literacy, language/cultural, and out-of-system continuity barriers.</x:v>
      </x:c>
      <x:c r="O119" s="19" t="str">
        <x:v>Used for underserved/periphery cultural access pattern.</x:v>
      </x:c>
      <x:c r="P119" s="19" t="str"/>
      <x:c r="Q119" s="19" t="str"/>
      <x:c r="R119" s="19" t="str"/>
      <x:c r="S119" s="19" t="str">
        <x:v>medium</x:v>
      </x:c>
      <x:c r="T119" s="19" t="str">
        <x:v>02_extracted_evidence/facts.csv</x:v>
      </x:c>
      <x:c r="U119" s="19" t="str">
        <x:v>research_evidence_package_global_health_issue_identification_2026-05-30.tar.gz::02_extracted_evidence/facts.csv::F008</x:v>
      </x:c>
    </x:row>
    <x:row r="120">
      <x:c r="A120" s="19" t="str">
        <x:v>E_global</x:v>
      </x:c>
      <x:c r="B120" s="19" t="str">
        <x:v>research_evidence_package_global_health_issue_identification_2026-05-30.tar.gz</x:v>
      </x:c>
      <x:c r="C120" s="19" t="str">
        <x:v>Research E / global health issue identification</x:v>
      </x:c>
      <x:c r="D120" s="19" t="str">
        <x:v>fact</x:v>
      </x:c>
      <x:c r="E120" s="19" t="str">
        <x:v>F009</x:v>
      </x:c>
      <x:c r="F120" s="19" t="str">
        <x:v>S011</x:v>
      </x:c>
      <x:c r="G120" s="19" t="str">
        <x:v>International Health Care System Profiles: India</x:v>
      </x:c>
      <x:c r="H120" s="19" t="str">
        <x:v>https://www.commonwealthfund.org/taxonomy/term/8</x:v>
      </x:c>
      <x:c r="I120" s="19" t="str">
        <x:v>India</x:v>
      </x:c>
      <x:c r="J120" s="19" t="str">
        <x:v>public/private care</x:v>
      </x:c>
      <x:c r="K120" s="19" t="str">
        <x:v>fragmented care</x:v>
      </x:c>
      <x:c r="L120" s="19" t="str"/>
      <x:c r="M120" s="19" t="str">
        <x:v>fragmented care</x:v>
      </x:c>
      <x:c r="N120" s="19" t="str">
        <x:v>India has weak practical gatekeeping, a large public/private/informal ecosystem, slow EHR adoption, and no universal patient identifier.</x:v>
      </x:c>
      <x:c r="O120" s="19" t="str">
        <x:v>Used for India fragmented-care model.</x:v>
      </x:c>
      <x:c r="P120" s="19" t="str"/>
      <x:c r="Q120" s="19" t="str"/>
      <x:c r="R120" s="19" t="str"/>
      <x:c r="S120" s="19" t="str">
        <x:v>high</x:v>
      </x:c>
      <x:c r="T120" s="19" t="str">
        <x:v>02_extracted_evidence/facts.csv</x:v>
      </x:c>
      <x:c r="U120" s="19" t="str">
        <x:v>research_evidence_package_global_health_issue_identification_2026-05-30.tar.gz::02_extracted_evidence/facts.csv::F009</x:v>
      </x:c>
    </x:row>
    <x:row r="121">
      <x:c r="A121" s="19" t="str">
        <x:v>E_global</x:v>
      </x:c>
      <x:c r="B121" s="19" t="str">
        <x:v>research_evidence_package_global_health_issue_identification_2026-05-30.tar.gz</x:v>
      </x:c>
      <x:c r="C121" s="19" t="str">
        <x:v>Research E / global health issue identification</x:v>
      </x:c>
      <x:c r="D121" s="19" t="str">
        <x:v>fact</x:v>
      </x:c>
      <x:c r="E121" s="19" t="str">
        <x:v>F010</x:v>
      </x:c>
      <x:c r="F121" s="19" t="str">
        <x:v>S012</x:v>
      </x:c>
      <x:c r="G121" s="19" t="str">
        <x:v>Non-allopathic provider referral intervention for TB diagnosis</x:v>
      </x:c>
      <x:c r="H121" s="19" t="str">
        <x:v>https://journals.plos.org/globalpublichealth/article?id=10.1371%2Fjournal.pgph.0004416</x:v>
      </x:c>
      <x:c r="I121" s="19" t="str">
        <x:v>India</x:v>
      </x:c>
      <x:c r="J121" s="19" t="str">
        <x:v>community / TB pathway</x:v>
      </x:c>
      <x:c r="K121" s="19" t="str">
        <x:v>TB diagnostic delay</x:v>
      </x:c>
      <x:c r="L121" s="19" t="str"/>
      <x:c r="M121" s="19" t="str">
        <x:v>TB diagnostic delay</x:v>
      </x:c>
      <x:c r="N121" s="19" t="str">
        <x:v>A referral and free chest-x-ray intervention involving non-allopathic providers reduced TB diagnostic delay by 8.6 days.</x:v>
      </x:c>
      <x:c r="O121" s="19" t="str">
        <x:v>Used as successful low-resource/community linkage example.</x:v>
      </x:c>
      <x:c r="P121" s="19" t="str"/>
      <x:c r="Q121" s="19" t="str"/>
      <x:c r="R121" s="19" t="str"/>
      <x:c r="S121" s="19" t="str">
        <x:v>high</x:v>
      </x:c>
      <x:c r="T121" s="19" t="str">
        <x:v>02_extracted_evidence/facts.csv</x:v>
      </x:c>
      <x:c r="U121" s="19" t="str">
        <x:v>research_evidence_package_global_health_issue_identification_2026-05-30.tar.gz::02_extracted_evidence/facts.csv::F010</x:v>
      </x:c>
    </x:row>
    <x:row r="122">
      <x:c r="A122" s="19" t="str">
        <x:v>E_global</x:v>
      </x:c>
      <x:c r="B122" s="19" t="str">
        <x:v>research_evidence_package_global_health_issue_identification_2026-05-30.tar.gz</x:v>
      </x:c>
      <x:c r="C122" s="19" t="str">
        <x:v>Research E / global health issue identification</x:v>
      </x:c>
      <x:c r="D122" s="19" t="str">
        <x:v>fact</x:v>
      </x:c>
      <x:c r="E122" s="19" t="str">
        <x:v>F011</x:v>
      </x:c>
      <x:c r="F122" s="19" t="str">
        <x:v>S014</x:v>
      </x:c>
      <x:c r="G122" s="19" t="str">
        <x:v>International Health Care System Profiles: China</x:v>
      </x:c>
      <x:c r="H122" s="19" t="str">
        <x:v>https://www.commonwealthfund.org/taxonomy/term/3</x:v>
      </x:c>
      <x:c r="I122" s="19" t="str">
        <x:v>China</x:v>
      </x:c>
      <x:c r="J122" s="19" t="str">
        <x:v>hospital outpatient / ED</x:v>
      </x:c>
      <x:c r="K122" s="19" t="str">
        <x:v>open access / continuity</x:v>
      </x:c>
      <x:c r="L122" s="19" t="str"/>
      <x:c r="M122" s="19" t="str">
        <x:v>open access / continuity</x:v>
      </x:c>
      <x:c r="N122" s="19" t="str">
        <x:v>China does not generally require referrals and ED information is not routinely sent to primary-care doctors.</x:v>
      </x:c>
      <x:c r="O122" s="19" t="str">
        <x:v>Used for open-access/hospital-first continuity risk.</x:v>
      </x:c>
      <x:c r="P122" s="19" t="str"/>
      <x:c r="Q122" s="19" t="str"/>
      <x:c r="R122" s="19" t="str"/>
      <x:c r="S122" s="19" t="str">
        <x:v>high</x:v>
      </x:c>
      <x:c r="T122" s="19" t="str">
        <x:v>02_extracted_evidence/facts.csv</x:v>
      </x:c>
      <x:c r="U122" s="19" t="str">
        <x:v>research_evidence_package_global_health_issue_identification_2026-05-30.tar.gz::02_extracted_evidence/facts.csv::F011</x:v>
      </x:c>
    </x:row>
    <x:row r="123">
      <x:c r="A123" s="19" t="str">
        <x:v>E_global</x:v>
      </x:c>
      <x:c r="B123" s="19" t="str">
        <x:v>research_evidence_package_global_health_issue_identification_2026-05-30.tar.gz</x:v>
      </x:c>
      <x:c r="C123" s="19" t="str">
        <x:v>Research E / global health issue identification</x:v>
      </x:c>
      <x:c r="D123" s="19" t="str">
        <x:v>fact</x:v>
      </x:c>
      <x:c r="E123" s="19" t="str">
        <x:v>F012</x:v>
      </x:c>
      <x:c r="F123" s="19" t="str">
        <x:v>S017</x:v>
      </x:c>
      <x:c r="G123" s="19" t="str">
        <x:v>International Health Care System Profiles: Brazil</x:v>
      </x:c>
      <x:c r="H123" s="19" t="str">
        <x:v>https://www.commonwealthfund.org/taxonomy/term/5436</x:v>
      </x:c>
      <x:c r="I123" s="19" t="str">
        <x:v>Brazil</x:v>
      </x:c>
      <x:c r="J123" s="19" t="str">
        <x:v>community health / referral</x:v>
      </x:c>
      <x:c r="K123" s="19" t="str">
        <x:v>CHW / referral bottleneck</x:v>
      </x:c>
      <x:c r="L123" s="19" t="str"/>
      <x:c r="M123" s="19" t="str">
        <x:v>CHW / referral bottleneck</x:v>
      </x:c>
      <x:c r="N123" s="19" t="str">
        <x:v>Brazil Family Health Strategy teams cover defined households but specialty access remains a major bottleneck causing long queues and diagnostic delays.</x:v>
      </x:c>
      <x:c r="O123" s="19" t="str">
        <x:v>Used for CHW and referral bottleneck pattern.</x:v>
      </x:c>
      <x:c r="P123" s="19" t="str"/>
      <x:c r="Q123" s="19" t="str"/>
      <x:c r="R123" s="19" t="str"/>
      <x:c r="S123" s="19" t="str">
        <x:v>high</x:v>
      </x:c>
      <x:c r="T123" s="19" t="str">
        <x:v>02_extracted_evidence/facts.csv</x:v>
      </x:c>
      <x:c r="U123" s="19" t="str">
        <x:v>research_evidence_package_global_health_issue_identification_2026-05-30.tar.gz::02_extracted_evidence/facts.csv::F012</x:v>
      </x:c>
    </x:row>
    <x:row r="124">
      <x:c r="A124" s="19" t="str">
        <x:v>E_global</x:v>
      </x:c>
      <x:c r="B124" s="19" t="str">
        <x:v>research_evidence_package_global_health_issue_identification_2026-05-30.tar.gz</x:v>
      </x:c>
      <x:c r="C124" s="19" t="str">
        <x:v>Research E / global health issue identification</x:v>
      </x:c>
      <x:c r="D124" s="19" t="str">
        <x:v>fact</x:v>
      </x:c>
      <x:c r="E124" s="19" t="str">
        <x:v>F013</x:v>
      </x:c>
      <x:c r="F124" s="19" t="str">
        <x:v>S018</x:v>
      </x:c>
      <x:c r="G124" s="19" t="str">
        <x:v>Health Systems in Action: Mexico 2024</x:v>
      </x:c>
      <x:c r="H124" s="19" t="str">
        <x:v>https://eurohealthobservatory.who.int/publications/i/health-systems-in-action-2024-mexico</x:v>
      </x:c>
      <x:c r="I124" s="19" t="str">
        <x:v>Mexico</x:v>
      </x:c>
      <x:c r="J124" s="19" t="str">
        <x:v>public/private outpatient</x:v>
      </x:c>
      <x:c r="K124" s="19" t="str">
        <x:v>fragmented care</x:v>
      </x:c>
      <x:c r="L124" s="19" t="str"/>
      <x:c r="M124" s="19" t="str">
        <x:v>fragmented care</x:v>
      </x:c>
      <x:c r="N124" s="19" t="str">
        <x:v>Mexico has a segmented system with private providers delivering substantial outpatient care but poorly integrated into public networks.</x:v>
      </x:c>
      <x:c r="O124" s="19" t="str">
        <x:v>Used for public/private fragmentation pattern.</x:v>
      </x:c>
      <x:c r="P124" s="19" t="str"/>
      <x:c r="Q124" s="19" t="str"/>
      <x:c r="R124" s="19" t="str"/>
      <x:c r="S124" s="19" t="str">
        <x:v>high</x:v>
      </x:c>
      <x:c r="T124" s="19" t="str">
        <x:v>02_extracted_evidence/facts.csv</x:v>
      </x:c>
      <x:c r="U124" s="19" t="str">
        <x:v>research_evidence_package_global_health_issue_identification_2026-05-30.tar.gz::02_extracted_evidence/facts.csv::F013</x:v>
      </x:c>
    </x:row>
    <x:row r="125">
      <x:c r="A125" s="19" t="str">
        <x:v>E_global</x:v>
      </x:c>
      <x:c r="B125" s="19" t="str">
        <x:v>research_evidence_package_global_health_issue_identification_2026-05-30.tar.gz</x:v>
      </x:c>
      <x:c r="C125" s="19" t="str">
        <x:v>Research E / global health issue identification</x:v>
      </x:c>
      <x:c r="D125" s="19" t="str">
        <x:v>fact</x:v>
      </x:c>
      <x:c r="E125" s="19" t="str">
        <x:v>F014</x:v>
      </x:c>
      <x:c r="F125" s="19" t="str">
        <x:v>S020</x:v>
      </x:c>
      <x:c r="G125" s="19" t="str">
        <x:v>Patients’ pathways to cancer diagnosis and treatment in Tanzania</x:v>
      </x:c>
      <x:c r="H125" s="19" t="str">
        <x:v>https://link.springer.com/article/10.1186/s12913-021-07438-5</x:v>
      </x:c>
      <x:c r="I125" s="19" t="str">
        <x:v>Tanzania</x:v>
      </x:c>
      <x:c r="J125" s="19" t="str">
        <x:v>cancer diagnosis pathway</x:v>
      </x:c>
      <x:c r="K125" s="19" t="str">
        <x:v>cancer delay</x:v>
      </x:c>
      <x:c r="L125" s="19" t="str"/>
      <x:c r="M125" s="19" t="str">
        <x:v>cancer delay</x:v>
      </x:c>
      <x:c r="N125" s="19" t="str">
        <x:v>Tanzania cancer pathway study reported median delay of 358 days from first symptom to diagnosis.</x:v>
      </x:c>
      <x:c r="O125" s="19" t="str">
        <x:v>Used as low-resource diagnostic delay case.</x:v>
      </x:c>
      <x:c r="P125" s="19" t="str"/>
      <x:c r="Q125" s="19" t="str"/>
      <x:c r="R125" s="19" t="str"/>
      <x:c r="S125" s="19" t="str">
        <x:v>high</x:v>
      </x:c>
      <x:c r="T125" s="19" t="str">
        <x:v>02_extracted_evidence/facts.csv</x:v>
      </x:c>
      <x:c r="U125" s="19" t="str">
        <x:v>research_evidence_package_global_health_issue_identification_2026-05-30.tar.gz::02_extracted_evidence/facts.csv::F014</x:v>
      </x:c>
    </x:row>
    <x:row r="126">
      <x:c r="A126" s="19" t="str">
        <x:v>E_global</x:v>
      </x:c>
      <x:c r="B126" s="19" t="str">
        <x:v>research_evidence_package_global_health_issue_identification_2026-05-30.tar.gz</x:v>
      </x:c>
      <x:c r="C126" s="19" t="str">
        <x:v>Research E / global health issue identification</x:v>
      </x:c>
      <x:c r="D126" s="19" t="str">
        <x:v>fact</x:v>
      </x:c>
      <x:c r="E126" s="19" t="str">
        <x:v>F015</x:v>
      </x:c>
      <x:c r="F126" s="19" t="str">
        <x:v>S021</x:v>
      </x:c>
      <x:c r="G126" s="19" t="str">
        <x:v>WHO RAcE / iCCM programme</x:v>
      </x:c>
      <x:c r="H126" s="19" t="str">
        <x:v>https://www.who.int/teams/global-malaria-programme/case-management/community-based-case-management-race-programme</x:v>
      </x:c>
      <x:c r="I126" s="19" t="str">
        <x:v>Sub-Saharan Africa</x:v>
      </x:c>
      <x:c r="J126" s="19" t="str">
        <x:v>community health</x:v>
      </x:c>
      <x:c r="K126" s="19" t="str">
        <x:v>CHW workflow</x:v>
      </x:c>
      <x:c r="L126" s="19" t="str"/>
      <x:c r="M126" s="19" t="str">
        <x:v>CHW workflow</x:v>
      </x:c>
      <x:c r="N126" s="19" t="str">
        <x:v>WHO RAcE/iCCM trained CHWs to diagnose, treat, and refer childhood malaria, pneumonia, and diarrhea.</x:v>
      </x:c>
      <x:c r="O126" s="19" t="str">
        <x:v>Used for CHW first-assessment model.</x:v>
      </x:c>
      <x:c r="P126" s="19" t="str"/>
      <x:c r="Q126" s="19" t="str"/>
      <x:c r="R126" s="19" t="str"/>
      <x:c r="S126" s="19" t="str">
        <x:v>high</x:v>
      </x:c>
      <x:c r="T126" s="19" t="str">
        <x:v>02_extracted_evidence/facts.csv</x:v>
      </x:c>
      <x:c r="U126" s="19" t="str">
        <x:v>research_evidence_package_global_health_issue_identification_2026-05-30.tar.gz::02_extracted_evidence/facts.csv::F015</x:v>
      </x:c>
    </x:row>
    <x:row r="127">
      <x:c r="A127" s="19" t="str">
        <x:v>E_global</x:v>
      </x:c>
      <x:c r="B127" s="19" t="str">
        <x:v>research_evidence_package_global_health_issue_identification_2026-05-30.tar.gz</x:v>
      </x:c>
      <x:c r="C127" s="19" t="str">
        <x:v>Research E / global health issue identification</x:v>
      </x:c>
      <x:c r="D127" s="19" t="str">
        <x:v>fact</x:v>
      </x:c>
      <x:c r="E127" s="19" t="str">
        <x:v>F016</x:v>
      </x:c>
      <x:c r="F127" s="19" t="str">
        <x:v>S022</x:v>
      </x:c>
      <x:c r="G127" s="19" t="str">
        <x:v>WHO Europe refugee and migrant health</x:v>
      </x:c>
      <x:c r="H127" s="19" t="str">
        <x:v>https://www.who.int/europe/health-topics/refugee-and-migrant-health</x:v>
      </x:c>
      <x:c r="I127" s="19" t="str">
        <x:v>Europe</x:v>
      </x:c>
      <x:c r="J127" s="19" t="str">
        <x:v>migrant/refugee care</x:v>
      </x:c>
      <x:c r="K127" s="19" t="str">
        <x:v>migrant access barriers</x:v>
      </x:c>
      <x:c r="L127" s="19" t="str"/>
      <x:c r="M127" s="19" t="str">
        <x:v>migrant access barriers</x:v>
      </x:c>
      <x:c r="N127" s="19" t="str">
        <x:v>WHO Europe reports migrants/refugees face barriers including unclear entitlements, limited interpreters/cultural mediators, financial barriers, discrimination, and poor living conditions.</x:v>
      </x:c>
      <x:c r="O127" s="19" t="str">
        <x:v>Used for migrant/refugee access black zones.</x:v>
      </x:c>
      <x:c r="P127" s="19" t="str"/>
      <x:c r="Q127" s="19" t="str"/>
      <x:c r="R127" s="19" t="str"/>
      <x:c r="S127" s="19" t="str">
        <x:v>high</x:v>
      </x:c>
      <x:c r="T127" s="19" t="str">
        <x:v>02_extracted_evidence/facts.csv</x:v>
      </x:c>
      <x:c r="U127" s="19" t="str">
        <x:v>research_evidence_package_global_health_issue_identification_2026-05-30.tar.gz::02_extracted_evidence/facts.csv::F016</x:v>
      </x:c>
    </x:row>
    <x:row r="128">
      <x:c r="A128" s="19" t="str">
        <x:v>E_global</x:v>
      </x:c>
      <x:c r="B128" s="19" t="str">
        <x:v>research_evidence_package_global_health_issue_identification_2026-05-30.tar.gz</x:v>
      </x:c>
      <x:c r="C128" s="19" t="str">
        <x:v>Research E / global health issue identification</x:v>
      </x:c>
      <x:c r="D128" s="19" t="str">
        <x:v>fact</x:v>
      </x:c>
      <x:c r="E128" s="19" t="str">
        <x:v>F017</x:v>
      </x:c>
      <x:c r="F128" s="19" t="str">
        <x:v>S023</x:v>
      </x:c>
      <x:c r="G128" s="19" t="str">
        <x:v>Improvement framework: community language translation and interpreting services</x:v>
      </x:c>
      <x:c r="H128" s="19" t="str">
        <x:v>https://www.england.nhs.uk/long-read/improvement-framework-community-language-translation-and-interpreting-services/</x:v>
      </x:c>
      <x:c r="I128" s="19" t="str">
        <x:v>England</x:v>
      </x:c>
      <x:c r="J128" s="19" t="str">
        <x:v>all NHS settings</x:v>
      </x:c>
      <x:c r="K128" s="19" t="str">
        <x:v>language access</x:v>
      </x:c>
      <x:c r="L128" s="19" t="str"/>
      <x:c r="M128" s="19" t="str">
        <x:v>language access</x:v>
      </x:c>
      <x:c r="N128" s="19" t="str">
        <x:v>NHS England reports people with limited English can struggle at all points and inconsistent interpreting can prevent engagement.</x:v>
      </x:c>
      <x:c r="O128" s="19" t="str">
        <x:v>Used for language barrier workflow design.</x:v>
      </x:c>
      <x:c r="P128" s="19" t="str"/>
      <x:c r="Q128" s="19" t="str"/>
      <x:c r="R128" s="19" t="str"/>
      <x:c r="S128" s="19" t="str">
        <x:v>high</x:v>
      </x:c>
      <x:c r="T128" s="19" t="str">
        <x:v>02_extracted_evidence/facts.csv</x:v>
      </x:c>
      <x:c r="U128" s="19" t="str">
        <x:v>research_evidence_package_global_health_issue_identification_2026-05-30.tar.gz::02_extracted_evidence/facts.csv::F017</x:v>
      </x:c>
    </x:row>
    <x:row r="129">
      <x:c r="A129" s="19" t="str">
        <x:v>E_global</x:v>
      </x:c>
      <x:c r="B129" s="19" t="str">
        <x:v>research_evidence_package_global_health_issue_identification_2026-05-30.tar.gz</x:v>
      </x:c>
      <x:c r="C129" s="19" t="str">
        <x:v>Research E / global health issue identification</x:v>
      </x:c>
      <x:c r="D129" s="19" t="str">
        <x:v>fact</x:v>
      </x:c>
      <x:c r="E129" s="19" t="str">
        <x:v>F018</x:v>
      </x:c>
      <x:c r="F129" s="19" t="str">
        <x:v>S026</x:v>
      </x:c>
      <x:c r="G129" s="19" t="str">
        <x:v>When health care harms: Addressing Indigenous-specific racism in Canada</x:v>
      </x:c>
      <x:c r="H129" s="19" t="str">
        <x:v>https://www.cpha.ca/when-health-care-harms-addressing-indigenous-specific-racism-canada</x:v>
      </x:c>
      <x:c r="I129" s="19" t="str">
        <x:v>Canada</x:v>
      </x:c>
      <x:c r="J129" s="19" t="str">
        <x:v>ED / hospital</x:v>
      </x:c>
      <x:c r="K129" s="19" t="str">
        <x:v>Indigenous health equity</x:v>
      </x:c>
      <x:c r="L129" s="19" t="str"/>
      <x:c r="M129" s="19" t="str">
        <x:v>Indigenous health equity</x:v>
      </x:c>
      <x:c r="N129" s="19" t="str">
        <x:v>Canadian Indigenous patients may have symptoms taken less seriously and stereotypes can lead to misdiagnosis or neglect.</x:v>
      </x:c>
      <x:c r="O129" s="19" t="str">
        <x:v>Used for cultural-safety and racism black zones.</x:v>
      </x:c>
      <x:c r="P129" s="19" t="str"/>
      <x:c r="Q129" s="19" t="str"/>
      <x:c r="R129" s="19" t="str"/>
      <x:c r="S129" s="19" t="str">
        <x:v>medium</x:v>
      </x:c>
      <x:c r="T129" s="19" t="str">
        <x:v>02_extracted_evidence/facts.csv</x:v>
      </x:c>
      <x:c r="U129" s="19" t="str">
        <x:v>research_evidence_package_global_health_issue_identification_2026-05-30.tar.gz::02_extracted_evidence/facts.csv::F018</x:v>
      </x:c>
    </x:row>
    <x:row r="130">
      <x:c r="A130" s="19" t="str">
        <x:v>E_global</x:v>
      </x:c>
      <x:c r="B130" s="19" t="str">
        <x:v>research_evidence_package_global_health_issue_identification_2026-05-30.tar.gz</x:v>
      </x:c>
      <x:c r="C130" s="19" t="str">
        <x:v>Research E / global health issue identification</x:v>
      </x:c>
      <x:c r="D130" s="19" t="str">
        <x:v>fact</x:v>
      </x:c>
      <x:c r="E130" s="19" t="str">
        <x:v>F019</x:v>
      </x:c>
      <x:c r="F130" s="19" t="str">
        <x:v>S027</x:v>
      </x:c>
      <x:c r="G130" s="19" t="str">
        <x:v>Cultural safety in health care for Indigenous Australians: monitoring framework</x:v>
      </x:c>
      <x:c r="H130" s="19" t="str">
        <x:v>https://www.aihw.gov.au/reports/indigenous-australians/cultural-safety-health-care-framework/contents/summary</x:v>
      </x:c>
      <x:c r="I130" s="19" t="str">
        <x:v>Australia</x:v>
      </x:c>
      <x:c r="J130" s="19" t="str">
        <x:v>all settings</x:v>
      </x:c>
      <x:c r="K130" s="19" t="str">
        <x:v>cultural safety</x:v>
      </x:c>
      <x:c r="L130" s="19" t="str"/>
      <x:c r="M130" s="19" t="str">
        <x:v>cultural safety</x:v>
      </x:c>
      <x:c r="N130" s="19" t="str">
        <x:v>AIHW reports 32% of Indigenous Australians who did not access needed services cited cultural reasons such as language, discrimination, or cultural appropriateness.</x:v>
      </x:c>
      <x:c r="O130" s="19" t="str">
        <x:v>Used for cultural-safety access barrier metric.</x:v>
      </x:c>
      <x:c r="P130" s="19" t="str"/>
      <x:c r="Q130" s="19" t="str"/>
      <x:c r="R130" s="19" t="str"/>
      <x:c r="S130" s="19" t="str">
        <x:v>high</x:v>
      </x:c>
      <x:c r="T130" s="19" t="str">
        <x:v>02_extracted_evidence/facts.csv</x:v>
      </x:c>
      <x:c r="U130" s="19" t="str">
        <x:v>research_evidence_package_global_health_issue_identification_2026-05-30.tar.gz::02_extracted_evidence/facts.csv::F019</x:v>
      </x:c>
    </x:row>
    <x:row r="131">
      <x:c r="A131" s="19" t="str">
        <x:v>E_global</x:v>
      </x:c>
      <x:c r="B131" s="19" t="str">
        <x:v>research_evidence_package_global_health_issue_identification_2026-05-30.tar.gz</x:v>
      </x:c>
      <x:c r="C131" s="19" t="str">
        <x:v>Research E / global health issue identification</x:v>
      </x:c>
      <x:c r="D131" s="19" t="str">
        <x:v>fact</x:v>
      </x:c>
      <x:c r="E131" s="19" t="str">
        <x:v>F020</x:v>
      </x:c>
      <x:c r="F131" s="19" t="str">
        <x:v>S030</x:v>
      </x:c>
      <x:c r="G131" s="19" t="str">
        <x:v>Why health care is harder to access in rural America</x:v>
      </x:c>
      <x:c r="H131" s="19" t="str">
        <x:v>https://www.gao.gov/products/gao-23-106651</x:v>
      </x:c>
      <x:c r="I131" s="19" t="str">
        <x:v>Rural US</x:v>
      </x:c>
      <x:c r="J131" s="19" t="str">
        <x:v>rural care / telehealth</x:v>
      </x:c>
      <x:c r="K131" s="19" t="str">
        <x:v>rural access</x:v>
      </x:c>
      <x:c r="L131" s="19" t="str"/>
      <x:c r="M131" s="19" t="str">
        <x:v>rural access</x:v>
      </x:c>
      <x:c r="N131" s="19" t="str">
        <x:v>GAO reports rural US residents face fewer providers, longer travel, transportation barriers, and less broadband.</x:v>
      </x:c>
      <x:c r="O131" s="19" t="str">
        <x:v>Used for rural high-income access pattern.</x:v>
      </x:c>
      <x:c r="P131" s="19" t="str"/>
      <x:c r="Q131" s="19" t="str"/>
      <x:c r="R131" s="19" t="str"/>
      <x:c r="S131" s="19" t="str">
        <x:v>high</x:v>
      </x:c>
      <x:c r="T131" s="19" t="str">
        <x:v>02_extracted_evidence/facts.csv</x:v>
      </x:c>
      <x:c r="U131" s="19" t="str">
        <x:v>research_evidence_package_global_health_issue_identification_2026-05-30.tar.gz::02_extracted_evidence/facts.csv::F020</x:v>
      </x:c>
    </x:row>
    <x:row r="132">
      <x:c r="A132" s="19" t="str">
        <x:v>A_flows</x:v>
      </x:c>
      <x:c r="B132" s="19" t="str">
        <x:v>research_evidence_package_health_system_patient_flows_2026-05-30.tar.gz</x:v>
      </x:c>
      <x:c r="C132" s="19" t="str">
        <x:v>Research A / health-system patient flows</x:v>
      </x:c>
      <x:c r="D132" s="19" t="str">
        <x:v>evidence_item</x:v>
      </x:c>
      <x:c r="E132" s="19" t="str">
        <x:v>E001</x:v>
      </x:c>
      <x:c r="F132" s="19" t="str">
        <x:v>S01</x:v>
      </x:c>
      <x:c r="G132" s="19" t="str">
        <x:v>Emergency Severity Index (ESI): A Triage Tool for Emergency Department Care, Version 4</x:v>
      </x:c>
      <x:c r="H132" s="19" t="str">
        <x:v>https://media.emscimprovement.center/documents/Emergency_Severity_Index_Handbook.pdf</x:v>
      </x:c>
      <x:c r="I132" s="19" t="str">
        <x:v>US / internationally used</x:v>
      </x:c>
      <x:c r="J132" s="19" t="str">
        <x:v>emergency department</x:v>
      </x:c>
      <x:c r="K132" s="19" t="str">
        <x:v>nurse triage</x:v>
      </x:c>
      <x:c r="L132" s="19" t="str">
        <x:v>undifferentiated acute illness/injury</x:v>
      </x:c>
      <x:c r="M132" s="19" t="str">
        <x:v>red flag missed; normal-test trap; incomplete history</x:v>
      </x:c>
      <x:c r="N132" s="19" t="str">
        <x:v>Triage is a rapid risk sort, not a diagnosis; subtle chronic or complex symptoms may appear low acuity if vitals are normal.</x:v>
      </x:c>
      <x:c r="O132" s="19" t="str">
        <x:v>Classify acuity using ESI: immediate life-saving intervention, high risk/severe pain, then expected resources, with danger-zone vitals review.</x:v>
      </x:c>
      <x:c r="P132" s="19" t="str">
        <x:v>Identified: patients needing immediate lifesaving intervention and high-risk care; risk: triage depends on nurse pattern recognition and local resource assumptions.</x:v>
      </x:c>
      <x:c r="Q132" s="19" t="str"/>
      <x:c r="R132" s="19" t="str">
        <x:v>Separate emergency risk score from diagnostic uncertainty; capture clinician concern and prior visits even when ESI level is lower.</x:v>
      </x:c>
      <x:c r="S132" s="19" t="str">
        <x:v>high</x:v>
      </x:c>
      <x:c r="T132" s="19" t="str">
        <x:v>02_extracted_evidence/evidence_items.csv</x:v>
      </x:c>
      <x:c r="U132" s="19" t="str">
        <x:v>research_evidence_package_health_system_patient_flows_2026-05-30.tar.gz::02_extracted_evidence/evidence_items.csv::E001</x:v>
      </x:c>
    </x:row>
    <x:row r="133">
      <x:c r="A133" s="19" t="str">
        <x:v>A_flows</x:v>
      </x:c>
      <x:c r="B133" s="19" t="str">
        <x:v>research_evidence_package_health_system_patient_flows_2026-05-30.tar.gz</x:v>
      </x:c>
      <x:c r="C133" s="19" t="str">
        <x:v>Research A / health-system patient flows</x:v>
      </x:c>
      <x:c r="D133" s="19" t="str">
        <x:v>evidence_item</x:v>
      </x:c>
      <x:c r="E133" s="19" t="str">
        <x:v>E002</x:v>
      </x:c>
      <x:c r="F133" s="19" t="str">
        <x:v>S02</x:v>
      </x:c>
      <x:c r="G133" s="19" t="str">
        <x:v>Diagnostic Errors in the Emergency Department: A Systematic Review</x:v>
      </x:c>
      <x:c r="H133" s="19" t="str">
        <x:v>https://www.ncbi.nlm.nih.gov/books/NBK588197/</x:v>
      </x:c>
      <x:c r="I133" s="19" t="str">
        <x:v>US-focused evidence</x:v>
      </x:c>
      <x:c r="J133" s="19" t="str">
        <x:v>emergency department</x:v>
      </x:c>
      <x:c r="K133" s="19" t="str">
        <x:v>first clinician assessment; imaging/lab interpretation; discharge</x:v>
      </x:c>
      <x:c r="L133" s="19" t="str">
        <x:v>stroke, MI, aortic dissection, VTE, meningitis/encephalitis, sepsis, spinal cord injury/compression, lung cancer</x:v>
      </x:c>
      <x:c r="M133" s="19" t="str">
        <x:v>red flag missed; repeated visits ignored; no follow-up ownership</x:v>
      </x:c>
      <x:c r="N133" s="19" t="str">
        <x:v>High-risk diagnoses may be missed at the first visit and only recognized after repeat ED return or deterioration.</x:v>
      </x:c>
      <x:c r="O133" s="19" t="str">
        <x:v>Systematic review estimated diagnostic error harms and common high-harm conditions.</x:v>
      </x:c>
      <x:c r="P133" s="19" t="str">
        <x:v>Missed/delayed: serious ED diagnoses, especially vascular, neurologic, infection and cancer presentations.</x:v>
      </x:c>
      <x:c r="Q133" s="19" t="str"/>
      <x:c r="R133" s="19" t="str">
        <x:v>Flag high-harm conditions linked to symptom clusters and require explicit exclusion/safety-netting before discharge.</x:v>
      </x:c>
      <x:c r="S133" s="19" t="str">
        <x:v>high</x:v>
      </x:c>
      <x:c r="T133" s="19" t="str">
        <x:v>02_extracted_evidence/evidence_items.csv</x:v>
      </x:c>
      <x:c r="U133" s="19" t="str">
        <x:v>research_evidence_package_health_system_patient_flows_2026-05-30.tar.gz::02_extracted_evidence/evidence_items.csv::E002</x:v>
      </x:c>
    </x:row>
    <x:row r="134">
      <x:c r="A134" s="19" t="str">
        <x:v>A_flows</x:v>
      </x:c>
      <x:c r="B134" s="19" t="str">
        <x:v>research_evidence_package_health_system_patient_flows_2026-05-30.tar.gz</x:v>
      </x:c>
      <x:c r="C134" s="19" t="str">
        <x:v>Research A / health-system patient flows</x:v>
      </x:c>
      <x:c r="D134" s="19" t="str">
        <x:v>evidence_item</x:v>
      </x:c>
      <x:c r="E134" s="19" t="str">
        <x:v>E003</x:v>
      </x:c>
      <x:c r="F134" s="19" t="str">
        <x:v>S03</x:v>
      </x:c>
      <x:c r="G134" s="19" t="str">
        <x:v>Guidance for emergency departments: initial assessment</x:v>
      </x:c>
      <x:c r="H134" s="19" t="str">
        <x:v>https://www.england.nhs.uk/guidance-for-emergency-departments-initial-assessment/</x:v>
      </x:c>
      <x:c r="I134" s="19" t="str">
        <x:v>England</x:v>
      </x:c>
      <x:c r="J134" s="19" t="str">
        <x:v>emergency department</x:v>
      </x:c>
      <x:c r="K134" s="19" t="str">
        <x:v>arrival; registration; nurse triage; streaming; first clinician assessment</x:v>
      </x:c>
      <x:c r="L134" s="19" t="str">
        <x:v>undifferentiated emergency/urgent presentations</x:v>
      </x:c>
      <x:c r="M134" s="19" t="str">
        <x:v>poor handoff; red flag missed; no follow-up ownership</x:v>
      </x:c>
      <x:c r="N134" s="19" t="str">
        <x:v>Patients may experience an 'occult wait' before triage if registration queues or digital check-in create hidden delays.</x:v>
      </x:c>
      <x:c r="O134" s="19" t="str">
        <x:v>Initial assessment can include streaming, triage and rapid assessment/treatment to identify sickest patients and direct others to right service.</x:v>
      </x:c>
      <x:c r="P134" s="19" t="str">
        <x:v>Identified: sickest patients and appropriate service route; risk: redirection decisions can become unsafe if not clinically governed.</x:v>
      </x:c>
      <x:c r="Q134" s="19" t="str"/>
      <x:c r="R134" s="19" t="str">
        <x:v>Track real elapsed time from physical arrival to clinical assessment, not just time after registration.</x:v>
      </x:c>
      <x:c r="S134" s="19" t="str">
        <x:v>high</x:v>
      </x:c>
      <x:c r="T134" s="19" t="str">
        <x:v>02_extracted_evidence/evidence_items.csv</x:v>
      </x:c>
      <x:c r="U134" s="19" t="str">
        <x:v>research_evidence_package_health_system_patient_flows_2026-05-30.tar.gz::02_extracted_evidence/evidence_items.csv::E003</x:v>
      </x:c>
    </x:row>
    <x:row r="135">
      <x:c r="A135" s="19" t="str">
        <x:v>A_flows</x:v>
      </x:c>
      <x:c r="B135" s="19" t="str">
        <x:v>research_evidence_package_health_system_patient_flows_2026-05-30.tar.gz</x:v>
      </x:c>
      <x:c r="C135" s="19" t="str">
        <x:v>Research A / health-system patient flows</x:v>
      </x:c>
      <x:c r="D135" s="19" t="str">
        <x:v>evidence_item</x:v>
      </x:c>
      <x:c r="E135" s="19" t="str">
        <x:v>E004</x:v>
      </x:c>
      <x:c r="F135" s="19" t="str">
        <x:v>S04</x:v>
      </x:c>
      <x:c r="G135" s="19" t="str">
        <x:v>Initial Assessment of Emergency Department Patients</x:v>
      </x:c>
      <x:c r="H135" s="19" t="str">
        <x:v>https://rcem.ac.uk/wp-content/uploads/2025/04/Initial-Assessment.pdf</x:v>
      </x:c>
      <x:c r="I135" s="19" t="str">
        <x:v>UK</x:v>
      </x:c>
      <x:c r="J135" s="19" t="str">
        <x:v>emergency department</x:v>
      </x:c>
      <x:c r="K135" s="19" t="str">
        <x:v>registration; initial assessment; vitals</x:v>
      </x:c>
      <x:c r="L135" s="19" t="str">
        <x:v>undifferentiated ED attendance</x:v>
      </x:c>
      <x:c r="M135" s="19" t="str">
        <x:v>arrival; registration; red flag missed; poor handoff</x:v>
      </x:c>
      <x:c r="N135" s="19" t="str">
        <x:v>Operational queues can hide clinical risk before the patient is visible to the triage system.</x:v>
      </x:c>
      <x:c r="O135" s="19" t="str">
        <x:v>Register quickly, perform initial assessment by trained registered clinician, record minimum clinical fields and use early warning scores where relevant.</x:v>
      </x:c>
      <x:c r="P135" s="19" t="str">
        <x:v>Identified: front-door risk; missed risk if queues are unmanaged before registration/assessment.</x:v>
      </x:c>
      <x:c r="Q135" s="19" t="str"/>
      <x:c r="R135" s="19" t="str">
        <x:v>Use queue surveillance and arrival-time capture; include deterioration prompts before formal triage is complete.</x:v>
      </x:c>
      <x:c r="S135" s="19" t="str">
        <x:v>high</x:v>
      </x:c>
      <x:c r="T135" s="19" t="str">
        <x:v>02_extracted_evidence/evidence_items.csv</x:v>
      </x:c>
      <x:c r="U135" s="19" t="str">
        <x:v>research_evidence_package_health_system_patient_flows_2026-05-30.tar.gz::02_extracted_evidence/evidence_items.csv::E004</x:v>
      </x:c>
    </x:row>
    <x:row r="136">
      <x:c r="A136" s="19" t="str">
        <x:v>A_flows</x:v>
      </x:c>
      <x:c r="B136" s="19" t="str">
        <x:v>research_evidence_package_health_system_patient_flows_2026-05-30.tar.gz</x:v>
      </x:c>
      <x:c r="C136" s="19" t="str">
        <x:v>Research A / health-system patient flows</x:v>
      </x:c>
      <x:c r="D136" s="19" t="str">
        <x:v>evidence_item</x:v>
      </x:c>
      <x:c r="E136" s="19" t="str">
        <x:v>E005</x:v>
      </x:c>
      <x:c r="F136" s="19" t="str">
        <x:v>S05</x:v>
      </x:c>
      <x:c r="G136" s="19" t="str">
        <x:v>Emergency Department Workflow Diagrams</x:v>
      </x:c>
      <x:c r="H136" s="19" t="str">
        <x:v>https://www.ahrq.gov/sites/default/files/wysiwyg/professionals/quality-patient-safety/quality-resources/tools/cap-toolkit/ed-workflowdiagrams.pdf</x:v>
      </x:c>
      <x:c r="I136" s="19" t="str">
        <x:v>US</x:v>
      </x:c>
      <x:c r="J136" s="19" t="str">
        <x:v>emergency department</x:v>
      </x:c>
      <x:c r="K136" s="19" t="str">
        <x:v>arrival; intake; labs ordered; imaging ordered; lab interpretation; discharge/admission</x:v>
      </x:c>
      <x:c r="L136" s="19" t="str">
        <x:v>suspected community-acquired pneumonia</x:v>
      </x:c>
      <x:c r="M136" s="19" t="str">
        <x:v>documentation error; no one connected the dots; normal-test trap</x:v>
      </x:c>
      <x:c r="N136" s="19" t="str">
        <x:v>Decision support needs upstream data completeness and downstream reassessment when diagnosis does not fit.</x:v>
      </x:c>
      <x:c r="O136" s="19" t="str">
        <x:v>Patient arrives by EMS/walk-in; triage/intake RN collects key data; provider orders labs/CXR; CURB-65 and clinical assessment guide admission vs outpatient antibiotics.</x:v>
      </x:c>
      <x:c r="P136" s="19" t="str">
        <x:v>Identified: pneumonia severity and disposition; risk: pneumonia mimic or alternative diagnosis may be missed if CDS anchors on CAP.</x:v>
      </x:c>
      <x:c r="Q136" s="19" t="str"/>
      <x:c r="R136" s="19" t="str">
        <x:v>Expose missing CURB-65 elements and create 'pursue other diagnoses' tracking, not just CAP disposition.</x:v>
      </x:c>
      <x:c r="S136" s="19" t="str">
        <x:v>medium</x:v>
      </x:c>
      <x:c r="T136" s="19" t="str">
        <x:v>02_extracted_evidence/evidence_items.csv</x:v>
      </x:c>
      <x:c r="U136" s="19" t="str">
        <x:v>research_evidence_package_health_system_patient_flows_2026-05-30.tar.gz::02_extracted_evidence/evidence_items.csv::E005</x:v>
      </x:c>
    </x:row>
    <x:row r="137">
      <x:c r="A137" s="19" t="str">
        <x:v>A_flows</x:v>
      </x:c>
      <x:c r="B137" s="19" t="str">
        <x:v>research_evidence_package_health_system_patient_flows_2026-05-30.tar.gz</x:v>
      </x:c>
      <x:c r="C137" s="19" t="str">
        <x:v>Research A / health-system patient flows</x:v>
      </x:c>
      <x:c r="D137" s="19" t="str">
        <x:v>evidence_item</x:v>
      </x:c>
      <x:c r="E137" s="19" t="str">
        <x:v>E006</x:v>
      </x:c>
      <x:c r="F137" s="19" t="str">
        <x:v>S06</x:v>
      </x:c>
      <x:c r="G137" s="19" t="str">
        <x:v>Urgent care self-service</x:v>
      </x:c>
      <x:c r="H137" s="19" t="str">
        <x:v>https://digital.nhs.uk/services/urgent-care-self-service-product</x:v>
      </x:c>
      <x:c r="I137" s="19" t="str">
        <x:v>England</x:v>
      </x:c>
      <x:c r="J137" s="19" t="str">
        <x:v>urgent care / ED front door</x:v>
      </x:c>
      <x:c r="K137" s="19" t="str">
        <x:v>arrival; intake form; triage; referral</x:v>
      </x:c>
      <x:c r="L137" s="19" t="str">
        <x:v>urgent non-life-threatening presentations</x:v>
      </x:c>
      <x:c r="M137" s="19" t="str">
        <x:v>digital access gap; incomplete history; red flag missed</x:v>
      </x:c>
      <x:c r="N137" s="19" t="str">
        <x:v>Self-service can speed flow but may miss nuance, language barriers or worsening while waiting.</x:v>
      </x:c>
      <x:c r="O137" s="19" t="str">
        <x:v>Patient self-checks in on kiosk/tablet, completes symptom triage, and can be prioritised, redirected or referred through service routing.</x:v>
      </x:c>
      <x:c r="P137" s="19" t="str">
        <x:v>Identified: rapid symptom-led prioritisation and redirection; risk: digital access, literacy and symptom-description gaps.</x:v>
      </x:c>
      <x:c r="Q137" s="19" t="str"/>
      <x:c r="R137" s="19" t="str">
        <x:v>Add accessibility fallback, clinician override, real-time deterioration alerts and visibility of prior visits.</x:v>
      </x:c>
      <x:c r="S137" s="19" t="str">
        <x:v>medium</x:v>
      </x:c>
      <x:c r="T137" s="19" t="str">
        <x:v>02_extracted_evidence/evidence_items.csv</x:v>
      </x:c>
      <x:c r="U137" s="19" t="str">
        <x:v>research_evidence_package_health_system_patient_flows_2026-05-30.tar.gz::02_extracted_evidence/evidence_items.csv::E006</x:v>
      </x:c>
    </x:row>
    <x:row r="138">
      <x:c r="A138" s="19" t="str">
        <x:v>A_flows</x:v>
      </x:c>
      <x:c r="B138" s="19" t="str">
        <x:v>research_evidence_package_health_system_patient_flows_2026-05-30.tar.gz</x:v>
      </x:c>
      <x:c r="C138" s="19" t="str">
        <x:v>Research A / health-system patient flows</x:v>
      </x:c>
      <x:c r="D138" s="19" t="str">
        <x:v>evidence_item</x:v>
      </x:c>
      <x:c r="E138" s="19" t="str">
        <x:v>E007</x:v>
      </x:c>
      <x:c r="F138" s="19" t="str">
        <x:v>S07</x:v>
      </x:c>
      <x:c r="G138" s="19" t="str">
        <x:v>Urgent treatment centres: principles and standards</x:v>
      </x:c>
      <x:c r="H138" s="19" t="str">
        <x:v>https://www.england.nhs.uk/publication/urgent-treatment-centres-principles-and-standards/</x:v>
      </x:c>
      <x:c r="I138" s="19" t="str">
        <x:v>England</x:v>
      </x:c>
      <x:c r="J138" s="19" t="str">
        <x:v>urgent care</x:v>
      </x:c>
      <x:c r="K138" s="19" t="str">
        <x:v>arrival; first clinician assessment; labs ordered; imaging ordered; referral; follow-up</x:v>
      </x:c>
      <x:c r="L138" s="19" t="str">
        <x:v>minor injuries/ailments and urgent non-life-threatening problems</x:v>
      </x:c>
      <x:c r="M138" s="19" t="str">
        <x:v>wrong specialty; poor handoff; no follow-up ownership</x:v>
      </x:c>
      <x:c r="N138" s="19" t="str">
        <x:v>UTC boundaries are porous; patients may need escalation, diagnostics or follow-up ownership outside the UTC.</x:v>
      </x:c>
      <x:c r="O138" s="19" t="str">
        <x:v>UTCs accept booked and walk-in patients; provide basic diagnostics or protocols; share records/post-event messages and refer to ED/specialists when needed.</x:v>
      </x:c>
      <x:c r="P138" s="19" t="str">
        <x:v>Identified: conditions manageable outside ED; risk: lack of diagnostic capability or wrong redirection.</x:v>
      </x:c>
      <x:c r="Q138" s="19" t="str"/>
      <x:c r="R138" s="19" t="str">
        <x:v>Show available diagnostics, escalation criteria and post-visit ownership in the same workflow.</x:v>
      </x:c>
      <x:c r="S138" s="19" t="str">
        <x:v>high</x:v>
      </x:c>
      <x:c r="T138" s="19" t="str">
        <x:v>02_extracted_evidence/evidence_items.csv</x:v>
      </x:c>
      <x:c r="U138" s="19" t="str">
        <x:v>research_evidence_package_health_system_patient_flows_2026-05-30.tar.gz::02_extracted_evidence/evidence_items.csv::E007</x:v>
      </x:c>
    </x:row>
    <x:row r="139">
      <x:c r="A139" s="19" t="str">
        <x:v>A_flows</x:v>
      </x:c>
      <x:c r="B139" s="19" t="str">
        <x:v>research_evidence_package_health_system_patient_flows_2026-05-30.tar.gz</x:v>
      </x:c>
      <x:c r="C139" s="19" t="str">
        <x:v>Research A / health-system patient flows</x:v>
      </x:c>
      <x:c r="D139" s="19" t="str">
        <x:v>evidence_item</x:v>
      </x:c>
      <x:c r="E139" s="19" t="str">
        <x:v>E008</x:v>
      </x:c>
      <x:c r="F139" s="19" t="str">
        <x:v>S08</x:v>
      </x:c>
      <x:c r="G139" s="19" t="str">
        <x:v>When to visit an urgent treatment centre</x:v>
      </x:c>
      <x:c r="H139" s="19" t="str">
        <x:v>https://www.nhs.uk/nhs-services/urgent-and-emergency-care-services/when-to-visit-an-urgent-treatment-centre-urgent-care-centre-or-minor-injury-unit/</x:v>
      </x:c>
      <x:c r="I139" s="19" t="str">
        <x:v>England</x:v>
      </x:c>
      <x:c r="J139" s="19" t="str">
        <x:v>urgent care</x:v>
      </x:c>
      <x:c r="K139" s="19" t="str">
        <x:v>arrival; vitals; first clinician assessment; discharge/referral</x:v>
      </x:c>
      <x:c r="L139" s="19" t="str">
        <x:v>urgent non-life-threatening illness/injury</x:v>
      </x:c>
      <x:c r="M139" s="19" t="str">
        <x:v>red flag missed; patient self-advocacy required</x:v>
      </x:c>
      <x:c r="N139" s="19" t="str">
        <x:v>The workflow depends on patients knowing when and how to report deterioration while waiting.</x:v>
      </x:c>
      <x:c r="O139" s="19" t="str">
        <x:v>On arrival, patients may have observations by nurse, may wait by acuity not arrival order, and can be assessed/treated onsite or referred; GP is updated afterwards.</x:v>
      </x:c>
      <x:c r="P139" s="19" t="str">
        <x:v>Identified: worsening symptoms during wait if patient tells staff; risk: passive reliance on patient to report deterioration.</x:v>
      </x:c>
      <x:c r="Q139" s="19" t="str"/>
      <x:c r="R139" s="19" t="str">
        <x:v>Provide waiting-room check-ins and explicit 'tell us now if...' symptom prompts in multiple languages.</x:v>
      </x:c>
      <x:c r="S139" s="19" t="str">
        <x:v>medium</x:v>
      </x:c>
      <x:c r="T139" s="19" t="str">
        <x:v>02_extracted_evidence/evidence_items.csv</x:v>
      </x:c>
      <x:c r="U139" s="19" t="str">
        <x:v>research_evidence_package_health_system_patient_flows_2026-05-30.tar.gz::02_extracted_evidence/evidence_items.csv::E008</x:v>
      </x:c>
    </x:row>
    <x:row r="140">
      <x:c r="A140" s="19" t="str">
        <x:v>A_flows</x:v>
      </x:c>
      <x:c r="B140" s="19" t="str">
        <x:v>research_evidence_package_health_system_patient_flows_2026-05-30.tar.gz</x:v>
      </x:c>
      <x:c r="C140" s="19" t="str">
        <x:v>Research A / health-system patient flows</x:v>
      </x:c>
      <x:c r="D140" s="19" t="str">
        <x:v>evidence_item</x:v>
      </x:c>
      <x:c r="E140" s="19" t="str">
        <x:v>E009</x:v>
      </x:c>
      <x:c r="F140" s="19" t="str">
        <x:v>S09</x:v>
      </x:c>
      <x:c r="G140" s="19" t="str">
        <x:v>Vital Signs in the Urgent Care Center</x:v>
      </x:c>
      <x:c r="H140" s="19" t="str">
        <x:v>https://urgentcareassociation.org/wp-content/uploads/VITAL-SIGNS-IN-UC-CENTERS-04-2025_Revised.pdf</x:v>
      </x:c>
      <x:c r="I140" s="19" t="str">
        <x:v>US</x:v>
      </x:c>
      <x:c r="J140" s="19" t="str">
        <x:v>urgent care</x:v>
      </x:c>
      <x:c r="K140" s="19" t="str">
        <x:v>vitals; nurse triage; first clinician assessment</x:v>
      </x:c>
      <x:c r="L140" s="19" t="str">
        <x:v>urgent illness/injury</x:v>
      </x:c>
      <x:c r="M140" s="19" t="str">
        <x:v>normal-test trap; lab trend missed; documentation error</x:v>
      </x:c>
      <x:c r="N140" s="19" t="str">
        <x:v>Vitals create early signal but can be incomplete, delayed or not trended against prior visits.</x:v>
      </x:c>
      <x:c r="O140" s="19" t="str">
        <x:v>Initial vitals tailored to age, complaint and status; abnormal vitals reported and repeated.</x:v>
      </x:c>
      <x:c r="P140" s="19" t="str">
        <x:v>Identified: physiologic instability; missed: serious disease with normal or incomplete vitals.</x:v>
      </x:c>
      <x:c r="Q140" s="19" t="str"/>
      <x:c r="R140" s="19" t="str">
        <x:v>Require abnormal-vital acknowledgment, repeat-vital timers and trend comparison across visits.</x:v>
      </x:c>
      <x:c r="S140" s="19" t="str">
        <x:v>medium</x:v>
      </x:c>
      <x:c r="T140" s="19" t="str">
        <x:v>02_extracted_evidence/evidence_items.csv</x:v>
      </x:c>
      <x:c r="U140" s="19" t="str">
        <x:v>research_evidence_package_health_system_patient_flows_2026-05-30.tar.gz::02_extracted_evidence/evidence_items.csv::E009</x:v>
      </x:c>
    </x:row>
    <x:row r="141">
      <x:c r="A141" s="19" t="str">
        <x:v>A_flows</x:v>
      </x:c>
      <x:c r="B141" s="19" t="str">
        <x:v>research_evidence_package_health_system_patient_flows_2026-05-30.tar.gz</x:v>
      </x:c>
      <x:c r="C141" s="19" t="str">
        <x:v>Research A / health-system patient flows</x:v>
      </x:c>
      <x:c r="D141" s="19" t="str">
        <x:v>evidence_item</x:v>
      </x:c>
      <x:c r="E141" s="19" t="str">
        <x:v>E010</x:v>
      </x:c>
      <x:c r="F141" s="19" t="str">
        <x:v>S10</x:v>
      </x:c>
      <x:c r="G141" s="19" t="str">
        <x:v>Red Flags Identification and Intervention Policy for Urgent Care Centers</x:v>
      </x:c>
      <x:c r="H141" s="19" t="str">
        <x:v>https://urgentcareassociation.org/wp-content/uploads/RED-FLAGS-04-2025_Revised.pdf</x:v>
      </x:c>
      <x:c r="I141" s="19" t="str">
        <x:v>US</x:v>
      </x:c>
      <x:c r="J141" s="19" t="str">
        <x:v>urgent care</x:v>
      </x:c>
      <x:c r="K141" s="19" t="str">
        <x:v>registration; intake form; nurse triage</x:v>
      </x:c>
      <x:c r="L141" s="19" t="str">
        <x:v>emergency red-flag presentations presenting to urgent care</x:v>
      </x:c>
      <x:c r="M141" s="19" t="str">
        <x:v>red flag missed; incomplete history; poor handoff</x:v>
      </x:c>
      <x:c r="N141" s="19" t="str">
        <x:v>Non-clinical intake staff may be the first safety barrier.</x:v>
      </x:c>
      <x:c r="O141" s="19" t="str">
        <x:v>Registration/intake staff ask reason for visit; red flags trigger immediate rooming and clinician involvement or ED transfer.</x:v>
      </x:c>
      <x:c r="P141" s="19" t="str">
        <x:v>Identified: conditions too high-risk for routine urgent care; missed: red flags hidden by vague complaint or poor intake phrasing.</x:v>
      </x:c>
      <x:c r="Q141" s="19" t="str"/>
      <x:c r="R141" s="19" t="str">
        <x:v>Use plain-language red-flag checklist and escalation button at registration.</x:v>
      </x:c>
      <x:c r="S141" s="19" t="str">
        <x:v>medium</x:v>
      </x:c>
      <x:c r="T141" s="19" t="str">
        <x:v>02_extracted_evidence/evidence_items.csv</x:v>
      </x:c>
      <x:c r="U141" s="19" t="str">
        <x:v>research_evidence_package_health_system_patient_flows_2026-05-30.tar.gz::02_extracted_evidence/evidence_items.csv::E010</x:v>
      </x:c>
    </x:row>
    <x:row r="142">
      <x:c r="A142" s="19" t="str">
        <x:v>A_flows</x:v>
      </x:c>
      <x:c r="B142" s="19" t="str">
        <x:v>research_evidence_package_health_system_patient_flows_2026-05-30.tar.gz</x:v>
      </x:c>
      <x:c r="C142" s="19" t="str">
        <x:v>Research A / health-system patient flows</x:v>
      </x:c>
      <x:c r="D142" s="19" t="str">
        <x:v>evidence_item</x:v>
      </x:c>
      <x:c r="E142" s="19" t="str">
        <x:v>E011</x:v>
      </x:c>
      <x:c r="F142" s="19" t="str">
        <x:v>S11</x:v>
      </x:c>
      <x:c r="G142" s="19" t="str">
        <x:v>NHS 111 online</x:v>
      </x:c>
      <x:c r="H142" s="19" t="str">
        <x:v>https://111.nhs.uk/</x:v>
      </x:c>
      <x:c r="I142" s="19" t="str">
        <x:v>England</x:v>
      </x:c>
      <x:c r="J142" s="19" t="str">
        <x:v>telehealth</x:v>
      </x:c>
      <x:c r="K142" s="19" t="str">
        <x:v>before visit; intake form; referral</x:v>
      </x:c>
      <x:c r="L142" s="19" t="str">
        <x:v>urgent symptoms not immediately life-threatening</x:v>
      </x:c>
      <x:c r="M142" s="19" t="str">
        <x:v>incomplete history; wrong specialty; no one connected the dots</x:v>
      </x:c>
      <x:c r="N142" s="19" t="str">
        <x:v>Digital triage may fragment complex histories into a single main symptom.</x:v>
      </x:c>
      <x:c r="O142" s="19" t="str">
        <x:v>Patient completes one symptom pathway; service gives advice such as self-care, pharmacist, GP, UTC, ED or callback.</x:v>
      </x:c>
      <x:c r="P142" s="19" t="str">
        <x:v>Identified: service disposition; missed: multi-symptom or known-condition context if algorithm is used one symptom at a time.</x:v>
      </x:c>
      <x:c r="Q142" s="19" t="str"/>
      <x:c r="R142" s="19" t="str">
        <x:v>Allow multi-symptom summaries, 'not captured' text, prior-risk integration and easy escalation to human review.</x:v>
      </x:c>
      <x:c r="S142" s="19" t="str">
        <x:v>medium</x:v>
      </x:c>
      <x:c r="T142" s="19" t="str">
        <x:v>02_extracted_evidence/evidence_items.csv</x:v>
      </x:c>
      <x:c r="U142" s="19" t="str">
        <x:v>research_evidence_package_health_system_patient_flows_2026-05-30.tar.gz::02_extracted_evidence/evidence_items.csv::E011</x:v>
      </x:c>
    </x:row>
    <x:row r="143">
      <x:c r="A143" s="19" t="str">
        <x:v>A_flows</x:v>
      </x:c>
      <x:c r="B143" s="19" t="str">
        <x:v>research_evidence_package_health_system_patient_flows_2026-05-30.tar.gz</x:v>
      </x:c>
      <x:c r="C143" s="19" t="str">
        <x:v>Research A / health-system patient flows</x:v>
      </x:c>
      <x:c r="D143" s="19" t="str">
        <x:v>evidence_item</x:v>
      </x:c>
      <x:c r="E143" s="19" t="str">
        <x:v>E012</x:v>
      </x:c>
      <x:c r="F143" s="19" t="str">
        <x:v>S12</x:v>
      </x:c>
      <x:c r="G143" s="19" t="str">
        <x:v>NHS 111 online staff information</x:v>
      </x:c>
      <x:c r="H143" s="19" t="str">
        <x:v>https://digital.nhs.uk/services/nhs-111-online</x:v>
      </x:c>
      <x:c r="I143" s="19" t="str">
        <x:v>England</x:v>
      </x:c>
      <x:c r="J143" s="19" t="str">
        <x:v>telehealth</x:v>
      </x:c>
      <x:c r="K143" s="19" t="str">
        <x:v>before visit; intake form; referral</x:v>
      </x:c>
      <x:c r="L143" s="19" t="str">
        <x:v>urgent symptom triage</x:v>
      </x:c>
      <x:c r="M143" s="19" t="str">
        <x:v>wrong specialty; poor handoff; fragmented care</x:v>
      </x:c>
      <x:c r="N143" s="19" t="str">
        <x:v>The handoff is only as good as the service directory and referral visibility.</x:v>
      </x:c>
      <x:c r="O143" s="19" t="str">
        <x:v>Uses structured triage and service directory to recommend ambulance/ED/UTC/out-of-hours GP/GP/pharmacist/self-care outcomes.</x:v>
      </x:c>
      <x:c r="P143" s="19" t="str">
        <x:v>Identified: appropriate service destination; missed: directory availability or local pathway mismatches can redirect incorrectly.</x:v>
      </x:c>
      <x:c r="Q143" s="19" t="str"/>
      <x:c r="R143" s="19" t="str">
        <x:v>Audit outcome-to-arrival completion and failed referral attempts; surface no-capacity conditions.</x:v>
      </x:c>
      <x:c r="S143" s="19" t="str">
        <x:v>medium</x:v>
      </x:c>
      <x:c r="T143" s="19" t="str">
        <x:v>02_extracted_evidence/evidence_items.csv</x:v>
      </x:c>
      <x:c r="U143" s="19" t="str">
        <x:v>research_evidence_package_health_system_patient_flows_2026-05-30.tar.gz::02_extracted_evidence/evidence_items.csv::E012</x:v>
      </x:c>
    </x:row>
    <x:row r="144">
      <x:c r="A144" s="19" t="str">
        <x:v>A_flows</x:v>
      </x:c>
      <x:c r="B144" s="19" t="str">
        <x:v>research_evidence_package_health_system_patient_flows_2026-05-30.tar.gz</x:v>
      </x:c>
      <x:c r="C144" s="19" t="str">
        <x:v>Research A / health-system patient flows</x:v>
      </x:c>
      <x:c r="D144" s="19" t="str">
        <x:v>evidence_item</x:v>
      </x:c>
      <x:c r="E144" s="19" t="str">
        <x:v>E013</x:v>
      </x:c>
      <x:c r="F144" s="19" t="str">
        <x:v>S13</x:v>
      </x:c>
      <x:c r="G144" s="19" t="str">
        <x:v>Digital tools for online consultation in general practice</x:v>
      </x:c>
      <x:c r="H144" s="19" t="str">
        <x:v>https://www.hssib.org.uk/patient-safety-investigations/workforce-and-patient-safety/second-investigation-report/</x:v>
      </x:c>
      <x:c r="I144" s="19" t="str">
        <x:v>England</x:v>
      </x:c>
      <x:c r="J144" s="19" t="str">
        <x:v>telehealth</x:v>
      </x:c>
      <x:c r="K144" s="19" t="str">
        <x:v>before visit; intake form; first clinician assessment; follow-up</x:v>
      </x:c>
      <x:c r="L144" s="19" t="str">
        <x:v>varied primary-care requests; hidden serious illness</x:v>
      </x:c>
      <x:c r="M144" s="19" t="str">
        <x:v>digital access gap; incomplete history; no follow-up ownership; chronic illness invalidation</x:v>
      </x:c>
      <x:c r="N144" s="19" t="str">
        <x:v>Online access can create a digital bottleneck and reduce the chance to observe/examine patients.</x:v>
      </x:c>
      <x:c r="O144" s="19" t="str">
        <x:v>Asynchronous online consultations support clinical/admin requests but may be capped or rerouted by practices for safety.</x:v>
      </x:c>
      <x:c r="P144" s="19" t="str">
        <x:v>Missed/delayed: safety incidents when digital tools reduce access, distort history or weaken proactive/long-term care.</x:v>
      </x:c>
      <x:c r="Q144" s="19" t="str"/>
      <x:c r="R144" s="19" t="str">
        <x:v>Create safe fallback channels, complexity flags, remote-to-face-to-face conversion rules and continuity prompts.</x:v>
      </x:c>
      <x:c r="S144" s="19" t="str">
        <x:v>high</x:v>
      </x:c>
      <x:c r="T144" s="19" t="str">
        <x:v>02_extracted_evidence/evidence_items.csv</x:v>
      </x:c>
      <x:c r="U144" s="19" t="str">
        <x:v>research_evidence_package_health_system_patient_flows_2026-05-30.tar.gz::02_extracted_evidence/evidence_items.csv::E013</x:v>
      </x:c>
    </x:row>
    <x:row r="145">
      <x:c r="A145" s="19" t="str">
        <x:v>A_flows</x:v>
      </x:c>
      <x:c r="B145" s="19" t="str">
        <x:v>research_evidence_package_health_system_patient_flows_2026-05-30.tar.gz</x:v>
      </x:c>
      <x:c r="C145" s="19" t="str">
        <x:v>Research A / health-system patient flows</x:v>
      </x:c>
      <x:c r="D145" s="19" t="str">
        <x:v>evidence_item</x:v>
      </x:c>
      <x:c r="E145" s="19" t="str">
        <x:v>E014</x:v>
      </x:c>
      <x:c r="F145" s="19" t="str">
        <x:v>S14</x:v>
      </x:c>
      <x:c r="G145" s="19" t="str">
        <x:v>Telehealth and Patient Safety</x:v>
      </x:c>
      <x:c r="H145" s="19" t="str">
        <x:v>https://psnet.ahrq.gov/primer/telehealth-and-patient-safety</x:v>
      </x:c>
      <x:c r="I145" s="19" t="str">
        <x:v>US / international</x:v>
      </x:c>
      <x:c r="J145" s="19" t="str">
        <x:v>telehealth</x:v>
      </x:c>
      <x:c r="K145" s="19" t="str">
        <x:v>medical history; physical exam; vitals; referral; follow-up</x:v>
      </x:c>
      <x:c r="L145" s="19" t="str">
        <x:v>acute or chronic problems assessed remotely</x:v>
      </x:c>
      <x:c r="M145" s="19" t="str">
        <x:v>normal-test trap; incomplete physical exam; poor follow-up ownership</x:v>
      </x:c>
      <x:c r="N145" s="19" t="str">
        <x:v>Telehealth changes the signal set available for diagnosis.</x:v>
      </x:c>
      <x:c r="O145" s="19" t="str">
        <x:v>Telehealth can be safer when embedded in a medical home with records, tests, referrals and follow-up; risk rises when exam and communication are limited.</x:v>
      </x:c>
      <x:c r="P145" s="19" t="str">
        <x:v>Missed: diagnostic cues requiring auscultation, private/inaccessible body areas, objective vitals or hands-on exam.</x:v>
      </x:c>
      <x:c r="Q145" s="19" t="str"/>
      <x:c r="R145" s="19" t="str">
        <x:v>Decision support should classify problems as telehealth-suitable vs requiring in-person exam/labs/imaging.</x:v>
      </x:c>
      <x:c r="S145" s="19" t="str">
        <x:v>high</x:v>
      </x:c>
      <x:c r="T145" s="19" t="str">
        <x:v>02_extracted_evidence/evidence_items.csv</x:v>
      </x:c>
      <x:c r="U145" s="19" t="str">
        <x:v>research_evidence_package_health_system_patient_flows_2026-05-30.tar.gz::02_extracted_evidence/evidence_items.csv::E014</x:v>
      </x:c>
    </x:row>
    <x:row r="146">
      <x:c r="A146" s="19" t="str">
        <x:v>A_flows</x:v>
      </x:c>
      <x:c r="B146" s="19" t="str">
        <x:v>research_evidence_package_health_system_patient_flows_2026-05-30.tar.gz</x:v>
      </x:c>
      <x:c r="C146" s="19" t="str">
        <x:v>Research A / health-system patient flows</x:v>
      </x:c>
      <x:c r="D146" s="19" t="str">
        <x:v>evidence_item</x:v>
      </x:c>
      <x:c r="E146" s="19" t="str">
        <x:v>E015</x:v>
      </x:c>
      <x:c r="F146" s="19" t="str">
        <x:v>S15</x:v>
      </x:c>
      <x:c r="G146" s="19" t="str">
        <x:v>Modern General Practice Model</x:v>
      </x:c>
      <x:c r="H146" s="19" t="str">
        <x:v>https://www.england.nhs.uk/long-read/modern-general-practice-model/</x:v>
      </x:c>
      <x:c r="I146" s="19" t="str">
        <x:v>England</x:v>
      </x:c>
      <x:c r="J146" s="19" t="str">
        <x:v>primary care</x:v>
      </x:c>
      <x:c r="K146" s="19" t="str">
        <x:v>before visit; intake form; care navigation; first clinician assessment</x:v>
      </x:c>
      <x:c r="L146" s="19" t="str">
        <x:v>broad primary-care problems</x:v>
      </x:c>
      <x:c r="M146" s="19" t="str">
        <x:v>incomplete history; wrong specialty; no one connected the dots</x:v>
      </x:c>
      <x:c r="N146" s="19" t="str">
        <x:v>Routing can optimize capacity but also become a diagnostic gate if symptoms are under-described.</x:v>
      </x:c>
      <x:c r="O146" s="19" t="str">
        <x:v>Modern access model directs patients via phone/online/in-person to the right professional first time, using care navigation and demand/capacity management.</x:v>
      </x:c>
      <x:c r="P146" s="19" t="str">
        <x:v>Identified: routing need; missed: clinical complexity if navigation lacks enough symptom/risk context.</x:v>
      </x:c>
      <x:c r="Q146" s="19" t="str"/>
      <x:c r="R146" s="19" t="str">
        <x:v>Separate admin routing from clinical triage; capture escalation flags and repeated contacts.</x:v>
      </x:c>
      <x:c r="S146" s="19" t="str">
        <x:v>high</x:v>
      </x:c>
      <x:c r="T146" s="19" t="str">
        <x:v>02_extracted_evidence/evidence_items.csv</x:v>
      </x:c>
      <x:c r="U146" s="19" t="str">
        <x:v>research_evidence_package_health_system_patient_flows_2026-05-30.tar.gz::02_extracted_evidence/evidence_items.csv::E015</x:v>
      </x:c>
    </x:row>
    <x:row r="147">
      <x:c r="A147" s="19" t="str">
        <x:v>A_flows</x:v>
      </x:c>
      <x:c r="B147" s="19" t="str">
        <x:v>research_evidence_package_health_system_patient_flows_2026-05-30.tar.gz</x:v>
      </x:c>
      <x:c r="C147" s="19" t="str">
        <x:v>Research A / health-system patient flows</x:v>
      </x:c>
      <x:c r="D147" s="19" t="str">
        <x:v>evidence_item</x:v>
      </x:c>
      <x:c r="E147" s="19" t="str">
        <x:v>E016</x:v>
      </x:c>
      <x:c r="F147" s="19" t="str">
        <x:v>S16</x:v>
      </x:c>
      <x:c r="G147" s="19" t="str">
        <x:v>Care navigation and triage in general practice</x:v>
      </x:c>
      <x:c r="H147" s="19" t="str">
        <x:v>https://www.bma.org.uk/advice-and-support/gp-practices/gp-service-provision/care-navigation-and-triage-in-general-practice</x:v>
      </x:c>
      <x:c r="I147" s="19" t="str">
        <x:v>UK</x:v>
      </x:c>
      <x:c r="J147" s="19" t="str">
        <x:v>primary care</x:v>
      </x:c>
      <x:c r="K147" s="19" t="str">
        <x:v>care navigation; clinical triage; referral</x:v>
      </x:c>
      <x:c r="L147" s="19" t="str">
        <x:v>primary-care symptoms and admin requests</x:v>
      </x:c>
      <x:c r="M147" s="19" t="str">
        <x:v>poor handoff; symptom dismissed; red flag missed</x:v>
      </x:c>
      <x:c r="N147" s="19" t="str">
        <x:v>Ambiguity over whether a contact is administrative or clinical can lose risk signals.</x:v>
      </x:c>
      <x:c r="O147" s="19" t="str">
        <x:v>Care navigation signposts to appropriate clinician or service; clinical triage by nurse/GP makes early clinical decisions.</x:v>
      </x:c>
      <x:c r="P147" s="19" t="str">
        <x:v>Identified: difference between signposting and clinical triage; missed: escalation if administrative navigation substitutes for clinical judgment.</x:v>
      </x:c>
      <x:c r="Q147" s="19" t="str"/>
      <x:c r="R147" s="19" t="str">
        <x:v>Make role boundaries explicit and route uncertain cases to clinical triage.</x:v>
      </x:c>
      <x:c r="S147" s="19" t="str">
        <x:v>medium</x:v>
      </x:c>
      <x:c r="T147" s="19" t="str">
        <x:v>02_extracted_evidence/evidence_items.csv</x:v>
      </x:c>
      <x:c r="U147" s="19" t="str">
        <x:v>research_evidence_package_health_system_patient_flows_2026-05-30.tar.gz::02_extracted_evidence/evidence_items.csv::E016</x:v>
      </x:c>
    </x:row>
    <x:row r="148">
      <x:c r="A148" s="19" t="str">
        <x:v>A_flows</x:v>
      </x:c>
      <x:c r="B148" s="19" t="str">
        <x:v>research_evidence_package_health_system_patient_flows_2026-05-30.tar.gz</x:v>
      </x:c>
      <x:c r="C148" s="19" t="str">
        <x:v>Research A / health-system patient flows</x:v>
      </x:c>
      <x:c r="D148" s="19" t="str">
        <x:v>evidence_item</x:v>
      </x:c>
      <x:c r="E148" s="19" t="str">
        <x:v>E017</x:v>
      </x:c>
      <x:c r="F148" s="19" t="str">
        <x:v>S17</x:v>
      </x:c>
      <x:c r="G148" s="19" t="str">
        <x:v>Suspected cancer: recognition and referral (NG12)</x:v>
      </x:c>
      <x:c r="H148" s="19" t="str">
        <x:v>https://www.nice.org.uk/guidance/NG12/</x:v>
      </x:c>
      <x:c r="I148" s="19" t="str">
        <x:v>England/Wales</x:v>
      </x:c>
      <x:c r="J148" s="19" t="str">
        <x:v>primary care</x:v>
      </x:c>
      <x:c r="K148" s="19" t="str">
        <x:v>medical history; physical exam; labs ordered; referral; safety netting</x:v>
      </x:c>
      <x:c r="L148" s="19" t="str">
        <x:v>suspected cancer</x:v>
      </x:c>
      <x:c r="M148" s="19" t="str">
        <x:v>normal-test trap; referral delay; rare disease delay</x:v>
      </x:c>
      <x:c r="N148" s="19" t="str">
        <x:v>Threshold pathways may leave low-risk but persistent symptoms in a monitoring black zone.</x:v>
      </x:c>
      <x:c r="O148" s="19" t="str">
        <x:v>Guideline organizes referral/investigation actions by cancer site, symptom and findings; includes safety netting and diagnostic-process advice.</x:v>
      </x:c>
      <x:c r="P148" s="19" t="str">
        <x:v>Identified: cancer suspicion thresholds; missed: patients below threshold or with nonspecific/vague symptoms unless active monitoring occurs.</x:v>
      </x:c>
      <x:c r="Q148" s="19" t="str"/>
      <x:c r="R148" s="19" t="str">
        <x:v>Add active-monitoring tasks and symptom persistence triggers, not only referral thresholds.</x:v>
      </x:c>
      <x:c r="S148" s="19" t="str">
        <x:v>high</x:v>
      </x:c>
      <x:c r="T148" s="19" t="str">
        <x:v>02_extracted_evidence/evidence_items.csv</x:v>
      </x:c>
      <x:c r="U148" s="19" t="str">
        <x:v>research_evidence_package_health_system_patient_flows_2026-05-30.tar.gz::02_extracted_evidence/evidence_items.csv::E017</x:v>
      </x:c>
    </x:row>
    <x:row r="149">
      <x:c r="A149" s="19" t="str">
        <x:v>A_flows</x:v>
      </x:c>
      <x:c r="B149" s="19" t="str">
        <x:v>research_evidence_package_health_system_patient_flows_2026-05-30.tar.gz</x:v>
      </x:c>
      <x:c r="C149" s="19" t="str">
        <x:v>Research A / health-system patient flows</x:v>
      </x:c>
      <x:c r="D149" s="19" t="str">
        <x:v>evidence_item</x:v>
      </x:c>
      <x:c r="E149" s="19" t="str">
        <x:v>E018</x:v>
      </x:c>
      <x:c r="F149" s="19" t="str">
        <x:v>S18</x:v>
      </x:c>
      <x:c r="G149" s="19" t="str">
        <x:v>Safety netting</x:v>
      </x:c>
      <x:c r="H149" s="19" t="str">
        <x:v>https://www.cancerresearchuk.org/health-professional/diagnosis/primary-care/safety-netting</x:v>
      </x:c>
      <x:c r="I149" s="19" t="str">
        <x:v>UK</x:v>
      </x:c>
      <x:c r="J149" s="19" t="str">
        <x:v>primary care</x:v>
      </x:c>
      <x:c r="K149" s="19" t="str">
        <x:v>follow-up; repeat visit; diagnosis discussion</x:v>
      </x:c>
      <x:c r="L149" s="19" t="str">
        <x:v>possible cancer or other unresolved condition</x:v>
      </x:c>
      <x:c r="M149" s="19" t="str">
        <x:v>normal-test trap; no follow-up ownership; repeated visits ignored</x:v>
      </x:c>
      <x:c r="N149" s="19" t="str">
        <x:v>A negative test can prematurely close a diagnostic episode.</x:v>
      </x:c>
      <x:c r="O149" s="19" t="str">
        <x:v>Safety-netting gives time-bound follow-up, documents advice, ensures tests/referrals completed and monitors persistent symptoms even after negative tests.</x:v>
      </x:c>
      <x:c r="P149" s="19" t="str">
        <x:v>Identified: ongoing risk despite low-risk or negative initial results; missed: no owner for follow-up tasks.</x:v>
      </x:c>
      <x:c r="Q149" s="19" t="str"/>
      <x:c r="R149" s="19" t="str">
        <x:v>Build safety-net plans with due dates, owner, patient-facing instructions and re-presentation counters.</x:v>
      </x:c>
      <x:c r="S149" s="19" t="str">
        <x:v>medium</x:v>
      </x:c>
      <x:c r="T149" s="19" t="str">
        <x:v>02_extracted_evidence/evidence_items.csv</x:v>
      </x:c>
      <x:c r="U149" s="19" t="str">
        <x:v>research_evidence_package_health_system_patient_flows_2026-05-30.tar.gz::02_extracted_evidence/evidence_items.csv::E018</x:v>
      </x:c>
    </x:row>
    <x:row r="150">
      <x:c r="A150" s="19" t="str">
        <x:v>A_flows</x:v>
      </x:c>
      <x:c r="B150" s="19" t="str">
        <x:v>research_evidence_package_health_system_patient_flows_2026-05-30.tar.gz</x:v>
      </x:c>
      <x:c r="C150" s="19" t="str">
        <x:v>Research A / health-system patient flows</x:v>
      </x:c>
      <x:c r="D150" s="19" t="str">
        <x:v>evidence_item</x:v>
      </x:c>
      <x:c r="E150" s="19" t="str">
        <x:v>E019</x:v>
      </x:c>
      <x:c r="F150" s="19" t="str">
        <x:v>S19</x:v>
      </x:c>
      <x:c r="G150" s="19" t="str">
        <x:v>GP mythbuster: managing test results in general practice</x:v>
      </x:c>
      <x:c r="H150" s="19" t="str">
        <x:v>https://www.cqc.org.uk/guidance-regulation/gps/gp-mythbusters</x:v>
      </x:c>
      <x:c r="I150" s="19" t="str">
        <x:v>England</x:v>
      </x:c>
      <x:c r="J150" s="19" t="str">
        <x:v>primary care</x:v>
      </x:c>
      <x:c r="K150" s="19" t="str">
        <x:v>labs ordered; lab interpretation; follow-up</x:v>
      </x:c>
      <x:c r="L150" s="19" t="str">
        <x:v>any condition with ordered tests</x:v>
      </x:c>
      <x:c r="M150" s="19" t="str">
        <x:v>abnormal result not followed up; documentation error; no follow-up ownership</x:v>
      </x:c>
      <x:c r="N150" s="19" t="str">
        <x:v>Test-result management crosses many people and organisations.</x:v>
      </x:c>
      <x:c r="O150" s="19" t="str">
        <x:v>Practice needs systems for ordering, tracking attendance, return/non-return, review, filing, patient communication and abnormal follow-up.</x:v>
      </x:c>
      <x:c r="P150" s="19" t="str">
        <x:v>Missed: abnormal result not acted on, result not returned, no patient communication or clinician absence gap.</x:v>
      </x:c>
      <x:c r="Q150" s="19" t="str"/>
      <x:c r="R150" s="19" t="str">
        <x:v>Implement closed-loop result tracking, unresolved-result inboxes and backup reviewer rules.</x:v>
      </x:c>
      <x:c r="S150" s="19" t="str">
        <x:v>high</x:v>
      </x:c>
      <x:c r="T150" s="19" t="str">
        <x:v>02_extracted_evidence/evidence_items.csv</x:v>
      </x:c>
      <x:c r="U150" s="19" t="str">
        <x:v>research_evidence_package_health_system_patient_flows_2026-05-30.tar.gz::02_extracted_evidence/evidence_items.csv::E019</x:v>
      </x:c>
    </x:row>
    <x:row r="151">
      <x:c r="A151" s="19" t="str">
        <x:v>A_flows</x:v>
      </x:c>
      <x:c r="B151" s="19" t="str">
        <x:v>research_evidence_package_health_system_patient_flows_2026-05-30.tar.gz</x:v>
      </x:c>
      <x:c r="C151" s="19" t="str">
        <x:v>Research A / health-system patient flows</x:v>
      </x:c>
      <x:c r="D151" s="19" t="str">
        <x:v>evidence_item</x:v>
      </x:c>
      <x:c r="E151" s="19" t="str">
        <x:v>E020</x:v>
      </x:c>
      <x:c r="F151" s="19" t="str">
        <x:v>S20</x:v>
      </x:c>
      <x:c r="G151" s="19" t="str">
        <x:v>Continuity of care: delayed diagnosis in GP practices</x:v>
      </x:c>
      <x:c r="H151" s="19" t="str">
        <x:v>https://www.hssib.org.uk/patient-safety-investigations/continuity-of-care-delayed-diagnosis-in-gp-practices/investigation-report/pdf/</x:v>
      </x:c>
      <x:c r="I151" s="19" t="str">
        <x:v>England</x:v>
      </x:c>
      <x:c r="J151" s="19" t="str">
        <x:v>primary care</x:v>
      </x:c>
      <x:c r="K151" s="19" t="str">
        <x:v>repeat visit; medical history; specialist review; emergency escalation</x:v>
      </x:c>
      <x:c r="L151" s="19" t="str">
        <x:v>metastatic breast cancer presenting as back pain</x:v>
      </x:c>
      <x:c r="M151" s="19" t="str">
        <x:v>fragmented care; no one connected the dots; missing family/history context; repeated visits ignored</x:v>
      </x:c>
      <x:c r="N151" s="19" t="str">
        <x:v>No one clinician/system connected the repeated back-pain presentations with prior cancer risk.</x:v>
      </x:c>
      <x:c r="O151" s="19" t="str">
        <x:v>Over 8 months the patient saw many clinicians; eventual GP found spinal lump and sent patient to ED where CT found metastatic cancer.</x:v>
      </x:c>
      <x:c r="P151" s="19" t="str">
        <x:v>Missed/delayed: unresolved symptoms and cancer-history context were not surfaced across repeat contacts.</x:v>
      </x:c>
      <x:c r="Q151" s="19" t="str"/>
      <x:c r="R151" s="19" t="str">
        <x:v>Surface unresolved symptom threads, prior high-risk history and multiple-clinician patterns in the EHR.</x:v>
      </x:c>
      <x:c r="S151" s="19" t="str">
        <x:v>high</x:v>
      </x:c>
      <x:c r="T151" s="19" t="str">
        <x:v>02_extracted_evidence/evidence_items.csv</x:v>
      </x:c>
      <x:c r="U151" s="19" t="str">
        <x:v>research_evidence_package_health_system_patient_flows_2026-05-30.tar.gz::02_extracted_evidence/evidence_items.csv::E020</x:v>
      </x:c>
    </x:row>
    <x:row r="152">
      <x:c r="A152" s="19" t="str">
        <x:v>A_flows</x:v>
      </x:c>
      <x:c r="B152" s="19" t="str">
        <x:v>research_evidence_package_health_system_patient_flows_2026-05-30.tar.gz</x:v>
      </x:c>
      <x:c r="C152" s="19" t="str">
        <x:v>Research A / health-system patient flows</x:v>
      </x:c>
      <x:c r="D152" s="19" t="str">
        <x:v>evidence_item</x:v>
      </x:c>
      <x:c r="E152" s="19" t="str">
        <x:v>E021</x:v>
      </x:c>
      <x:c r="F152" s="19" t="str">
        <x:v>S21</x:v>
      </x:c>
      <x:c r="G152" s="19" t="str">
        <x:v>Jess's Rule: Three strikes and we rethink</x:v>
      </x:c>
      <x:c r="H152" s="19" t="str">
        <x:v>https://www.england.nhs.uk/long-read/jesss-rule-three-strikes-and-we-rethink/</x:v>
      </x:c>
      <x:c r="I152" s="19" t="str">
        <x:v>England</x:v>
      </x:c>
      <x:c r="J152" s="19" t="str">
        <x:v>primary care</x:v>
      </x:c>
      <x:c r="K152" s="19" t="str">
        <x:v>repeat visit; physical exam; referral; labs ordered</x:v>
      </x:c>
      <x:c r="L152" s="19" t="str">
        <x:v>persistent or escalating unexplained symptoms; cancer in origin story</x:v>
      </x:c>
      <x:c r="M152" s="19" t="str">
        <x:v>repeated visits ignored; no one connected the dots; bias or minimization</x:v>
      </x:c>
      <x:c r="N152" s="19" t="str">
        <x:v>Repeat visits are often visible only as isolated encounters.</x:v>
      </x:c>
      <x:c r="O152" s="19" t="str">
        <x:v>After three presentations, GP teams are prompted to reflect, review and rethink, consider face-to-face exam, second opinion, tests or referral.</x:v>
      </x:c>
      <x:c r="P152" s="19" t="str">
        <x:v>Identified: repeat presentation as a diagnostic signal; missed: if repeat visits are not counted across clinicians/channels.</x:v>
      </x:c>
      <x:c r="Q152" s="19" t="str"/>
      <x:c r="R152" s="19" t="str">
        <x:v>Create automatic repeat-presentation counters across phone/online/in-person and linked symptoms.</x:v>
      </x:c>
      <x:c r="S152" s="19" t="str">
        <x:v>medium</x:v>
      </x:c>
      <x:c r="T152" s="19" t="str">
        <x:v>02_extracted_evidence/evidence_items.csv</x:v>
      </x:c>
      <x:c r="U152" s="19" t="str">
        <x:v>research_evidence_package_health_system_patient_flows_2026-05-30.tar.gz::02_extracted_evidence/evidence_items.csv::E021</x:v>
      </x:c>
    </x:row>
    <x:row r="153">
      <x:c r="A153" s="19" t="str">
        <x:v>A_flows</x:v>
      </x:c>
      <x:c r="B153" s="19" t="str">
        <x:v>research_evidence_package_health_system_patient_flows_2026-05-30.tar.gz</x:v>
      </x:c>
      <x:c r="C153" s="19" t="str">
        <x:v>Research A / health-system patient flows</x:v>
      </x:c>
      <x:c r="D153" s="19" t="str">
        <x:v>evidence_item</x:v>
      </x:c>
      <x:c r="E153" s="19" t="str">
        <x:v>E022</x:v>
      </x:c>
      <x:c r="F153" s="19" t="str">
        <x:v>S22</x:v>
      </x:c>
      <x:c r="G153" s="19" t="str">
        <x:v>Years of being dismissed, ignored and belittled: Endometriosis UK diagnosis report</x:v>
      </x:c>
      <x:c r="H153" s="19" t="str">
        <x:v>https://www.endometriosis-uk.org/diagnosis-report</x:v>
      </x:c>
      <x:c r="I153" s="19" t="str">
        <x:v>UK</x:v>
      </x:c>
      <x:c r="J153" s="19" t="str">
        <x:v>primary care</x:v>
      </x:c>
      <x:c r="K153" s="19" t="str">
        <x:v>medical history; referral; specialist review; repeat visit</x:v>
      </x:c>
      <x:c r="L153" s="19" t="str">
        <x:v>endometriosis</x:v>
      </x:c>
      <x:c r="M153" s="19" t="str">
        <x:v>symptom dismissed; chronic illness invalidation; bias or minimization; patient self-advocacy required</x:v>
      </x:c>
      <x:c r="N153" s="19" t="str">
        <x:v>Chronic pain and women's health symptoms can be minimized despite repeated presentations.</x:v>
      </x:c>
      <x:c r="O153" s="19" t="str">
        <x:v>Survey documented repeated GP visits and A&amp;E attendance before diagnosis; respondents reported dismissal/minimisation.</x:v>
      </x:c>
      <x:c r="P153" s="19" t="str">
        <x:v>Missed/delayed: endometriosis diagnosis; patients often required repeated self-advocacy.</x:v>
      </x:c>
      <x:c r="Q153" s="19" t="str"/>
      <x:c r="R153" s="19" t="str">
        <x:v>Track symptom duration/severity, repeated visits and invalidating language; prompt specialist referral criteria review.</x:v>
      </x:c>
      <x:c r="S153" s="19" t="str">
        <x:v>medium</x:v>
      </x:c>
      <x:c r="T153" s="19" t="str">
        <x:v>02_extracted_evidence/evidence_items.csv</x:v>
      </x:c>
      <x:c r="U153" s="19" t="str">
        <x:v>research_evidence_package_health_system_patient_flows_2026-05-30.tar.gz::02_extracted_evidence/evidence_items.csv::E022</x:v>
      </x:c>
    </x:row>
    <x:row r="154">
      <x:c r="A154" s="19" t="str">
        <x:v>A_flows</x:v>
      </x:c>
      <x:c r="B154" s="19" t="str">
        <x:v>research_evidence_package_health_system_patient_flows_2026-05-30.tar.gz</x:v>
      </x:c>
      <x:c r="C154" s="19" t="str">
        <x:v>Research A / health-system patient flows</x:v>
      </x:c>
      <x:c r="D154" s="19" t="str">
        <x:v>evidence_item</x:v>
      </x:c>
      <x:c r="E154" s="19" t="str">
        <x:v>E023</x:v>
      </x:c>
      <x:c r="F154" s="19" t="str">
        <x:v>S23</x:v>
      </x:c>
      <x:c r="G154" s="19" t="str">
        <x:v>The impact of waiting for care</x:v>
      </x:c>
      <x:c r="H154" s="19" t="str">
        <x:v>https://www.healthwatch.co.uk/report/2023-10-03/impact-waiting-care</x:v>
      </x:c>
      <x:c r="I154" s="19" t="str">
        <x:v>England</x:v>
      </x:c>
      <x:c r="J154" s="19" t="str">
        <x:v>primary care / specialist referral</x:v>
      </x:c>
      <x:c r="K154" s="19" t="str">
        <x:v>referral; follow-up; lab interpretation</x:v>
      </x:c>
      <x:c r="L154" s="19" t="str">
        <x:v>varied unresolved conditions while waiting</x:v>
      </x:c>
      <x:c r="M154" s="19" t="str">
        <x:v>referral delay; no follow-up ownership; patient self-advocacy required</x:v>
      </x:c>
      <x:c r="N154" s="19" t="str">
        <x:v>Referral is not a completed action unless the patient is seen, tests are done and results acted on.</x:v>
      </x:c>
      <x:c r="O154" s="19" t="str">
        <x:v>Healthwatch gathered patient reports of waiting after GP referral, confusion over results and pressure to chase.</x:v>
      </x:c>
      <x:c r="P154" s="19" t="str">
        <x:v>Missed/delayed: follow-up appointments, specialist action, scans/tests; GP sometimes unable to accelerate despite abnormal tests.</x:v>
      </x:c>
      <x:c r="Q154" s="19" t="str"/>
      <x:c r="R154" s="19" t="str">
        <x:v>Track referral state, wait risk, abnormal-test escalation and patient-visible next step.</x:v>
      </x:c>
      <x:c r="S154" s="19" t="str">
        <x:v>medium</x:v>
      </x:c>
      <x:c r="T154" s="19" t="str">
        <x:v>02_extracted_evidence/evidence_items.csv</x:v>
      </x:c>
      <x:c r="U154" s="19" t="str">
        <x:v>research_evidence_package_health_system_patient_flows_2026-05-30.tar.gz::02_extracted_evidence/evidence_items.csv::E023</x:v>
      </x:c>
    </x:row>
    <x:row r="155">
      <x:c r="A155" s="19" t="str">
        <x:v>A_flows</x:v>
      </x:c>
      <x:c r="B155" s="19" t="str">
        <x:v>research_evidence_package_health_system_patient_flows_2026-05-30.tar.gz</x:v>
      </x:c>
      <x:c r="C155" s="19" t="str">
        <x:v>Research A / health-system patient flows</x:v>
      </x:c>
      <x:c r="D155" s="19" t="str">
        <x:v>evidence_item</x:v>
      </x:c>
      <x:c r="E155" s="19" t="str">
        <x:v>E024</x:v>
      </x:c>
      <x:c r="F155" s="19" t="str">
        <x:v>S24</x:v>
      </x:c>
      <x:c r="G155" s="19" t="str">
        <x:v>Patients being harmed due to repeated mistakes in reading scans</x:v>
      </x:c>
      <x:c r="H155" s="19" t="str">
        <x:v>https://www.ombudsman.org.uk/news-and-blog/news/patients-being-harmed-due-repeated-mistakes-reading-scans</x:v>
      </x:c>
      <x:c r="I155" s="19" t="str">
        <x:v>England</x:v>
      </x:c>
      <x:c r="J155" s="19" t="str">
        <x:v>hospital outpatient / imaging / ED</x:v>
      </x:c>
      <x:c r="K155" s="19" t="str">
        <x:v>imaging ordered; lab interpretation; follow-up; emergency return</x:v>
      </x:c>
      <x:c r="L155" s="19" t="str">
        <x:v>cancer and other scan-detectable conditions</x:v>
      </x:c>
      <x:c r="M155" s="19" t="str">
        <x:v>abnormal result not followed up; red flag missed; repeated visits ignored</x:v>
      </x:c>
      <x:c r="N155" s="19" t="str">
        <x:v>Imaging workflows fail at multiple points: ordering, performance, interpretation, communication, follow-up.</x:v>
      </x:c>
      <x:c r="O155" s="19" t="str">
        <x:v>Ombudsman reported repeated failures in scan reading, carrying out scans and follow-up; a cancer case was only identified at a fifth A&amp;E visit after lesion not reported.</x:v>
      </x:c>
      <x:c r="P155" s="19" t="str">
        <x:v>Missed/delayed: abnormal scan findings and cancer diagnosis.</x:v>
      </x:c>
      <x:c r="Q155" s="19" t="str"/>
      <x:c r="R155" s="19" t="str">
        <x:v>Closed-loop imaging: critical finding acknowledgment, patient notification and escalation if no action documented.</x:v>
      </x:c>
      <x:c r="S155" s="19" t="str">
        <x:v>high</x:v>
      </x:c>
      <x:c r="T155" s="19" t="str">
        <x:v>02_extracted_evidence/evidence_items.csv</x:v>
      </x:c>
      <x:c r="U155" s="19" t="str">
        <x:v>research_evidence_package_health_system_patient_flows_2026-05-30.tar.gz::02_extracted_evidence/evidence_items.csv::E024</x:v>
      </x:c>
    </x:row>
    <x:row r="156">
      <x:c r="A156" s="19" t="str">
        <x:v>A_flows</x:v>
      </x:c>
      <x:c r="B156" s="19" t="str">
        <x:v>research_evidence_package_health_system_patient_flows_2026-05-30.tar.gz</x:v>
      </x:c>
      <x:c r="C156" s="19" t="str">
        <x:v>Research A / health-system patient flows</x:v>
      </x:c>
      <x:c r="D156" s="19" t="str">
        <x:v>evidence_item</x:v>
      </x:c>
      <x:c r="E156" s="19" t="str">
        <x:v>E025</x:v>
      </x:c>
      <x:c r="F156" s="19" t="str">
        <x:v>S25</x:v>
      </x:c>
      <x:c r="G156" s="19" t="str">
        <x:v>Failures in communication or follow-up of unexpected significant radiological findings</x:v>
      </x:c>
      <x:c r="H156" s="19" t="str">
        <x:v>https://www.hssib.org.uk/patient-safety-investigations/failures-in-communication-or-follow-up-of-unexpected-significant-radiological-findings/</x:v>
      </x:c>
      <x:c r="I156" s="19" t="str">
        <x:v>England</x:v>
      </x:c>
      <x:c r="J156" s="19" t="str">
        <x:v>radiology / ED / primary care</x:v>
      </x:c>
      <x:c r="K156" s="19" t="str">
        <x:v>imaging ordered; imaging interpretation; discharge; follow-up</x:v>
      </x:c>
      <x:c r="L156" s="19" t="str">
        <x:v>lung cancer / unexpected significant radiology finding</x:v>
      </x:c>
      <x:c r="M156" s="19" t="str">
        <x:v>poor handoff; abnormal result not followed up; no follow-up ownership</x:v>
      </x:c>
      <x:c r="N156" s="19" t="str">
        <x:v>Responsibility can diffuse between radiology, ED, GP and patient.</x:v>
      </x:c>
      <x:c r="O156" s="19" t="str">
        <x:v>Investigation traced multistep communication of unexpected significant findings and weak assurance that action occurred.</x:v>
      </x:c>
      <x:c r="P156" s="19" t="str">
        <x:v>Missed/delayed: significant finding not received or acted on; read receipts not enough.</x:v>
      </x:c>
      <x:c r="Q156" s="19" t="str"/>
      <x:c r="R156" s="19" t="str">
        <x:v>Require an accountable result owner, escalation timer and auditable action completion, not just report delivery.</x:v>
      </x:c>
      <x:c r="S156" s="19" t="str">
        <x:v>high</x:v>
      </x:c>
      <x:c r="T156" s="19" t="str">
        <x:v>02_extracted_evidence/evidence_items.csv</x:v>
      </x:c>
      <x:c r="U156" s="19" t="str">
        <x:v>research_evidence_package_health_system_patient_flows_2026-05-30.tar.gz::02_extracted_evidence/evidence_items.csv::E025</x:v>
      </x:c>
    </x:row>
    <x:row r="157">
      <x:c r="A157" s="19" t="str">
        <x:v>A_flows</x:v>
      </x:c>
      <x:c r="B157" s="19" t="str">
        <x:v>research_evidence_package_health_system_patient_flows_2026-05-30.tar.gz</x:v>
      </x:c>
      <x:c r="C157" s="19" t="str">
        <x:v>Research A / health-system patient flows</x:v>
      </x:c>
      <x:c r="D157" s="19" t="str">
        <x:v>evidence_item</x:v>
      </x:c>
      <x:c r="E157" s="19" t="str">
        <x:v>E026</x:v>
      </x:c>
      <x:c r="F157" s="19" t="str">
        <x:v>S26</x:v>
      </x:c>
      <x:c r="G157" s="19" t="str">
        <x:v>Core Elements of Hospital Diagnostic Excellence</x:v>
      </x:c>
      <x:c r="H157" s="19" t="str">
        <x:v>https://www.cdc.gov/patient-safety/hcp/hospital-dx-excellence/index.html</x:v>
      </x:c>
      <x:c r="I157" s="19" t="str">
        <x:v>US</x:v>
      </x:c>
      <x:c r="J157" s="19" t="str">
        <x:v>inpatient ward / hospital outpatient</x:v>
      </x:c>
      <x:c r="K157" s="19" t="str">
        <x:v>discharge; follow-up; imaging/lab interpretation</x:v>
      </x:c>
      <x:c r="L157" s="19" t="str">
        <x:v>missed diagnoses after discharge; lung malignancy suspicion; pending tests</x:v>
      </x:c>
      <x:c r="M157" s="19" t="str">
        <x:v>poor handoff; no follow-up ownership; abnormal result not followed up</x:v>
      </x:c>
      <x:c r="N157" s="19" t="str">
        <x:v>Discharge can sever ownership of pending results.</x:v>
      </x:c>
      <x:c r="O157" s="19" t="str">
        <x:v>Hospital diagnostic excellence framework encourages targeting pending tests and suspicious imaging follow-up.</x:v>
      </x:c>
      <x:c r="P157" s="19" t="str">
        <x:v>Identified: high-risk diagnostic follow-up areas; missed: patients leaving hospital before test closure.</x:v>
      </x:c>
      <x:c r="Q157" s="19" t="str"/>
      <x:c r="R157" s="19" t="str">
        <x:v>Create discharge-pending-test registry and patient/clinician notification loops.</x:v>
      </x:c>
      <x:c r="S157" s="19" t="str">
        <x:v>high</x:v>
      </x:c>
      <x:c r="T157" s="19" t="str">
        <x:v>02_extracted_evidence/evidence_items.csv</x:v>
      </x:c>
      <x:c r="U157" s="19" t="str">
        <x:v>research_evidence_package_health_system_patient_flows_2026-05-30.tar.gz::02_extracted_evidence/evidence_items.csv::E026</x:v>
      </x:c>
    </x:row>
    <x:row r="158">
      <x:c r="A158" s="19" t="str">
        <x:v>A_flows</x:v>
      </x:c>
      <x:c r="B158" s="19" t="str">
        <x:v>research_evidence_package_health_system_patient_flows_2026-05-30.tar.gz</x:v>
      </x:c>
      <x:c r="C158" s="19" t="str">
        <x:v>Research A / health-system patient flows</x:v>
      </x:c>
      <x:c r="D158" s="19" t="str">
        <x:v>evidence_item</x:v>
      </x:c>
      <x:c r="E158" s="19" t="str">
        <x:v>E027</x:v>
      </x:c>
      <x:c r="F158" s="19" t="str">
        <x:v>S27</x:v>
      </x:c>
      <x:c r="G158" s="19" t="str">
        <x:v>Referral Assessment Services - NHS e-Referral Service</x:v>
      </x:c>
      <x:c r="H158" s="19" t="str">
        <x:v>https://digital.nhs.uk/services/e-referral-service/document-library/referral-assessment-services</x:v>
      </x:c>
      <x:c r="I158" s="19" t="str">
        <x:v>England</x:v>
      </x:c>
      <x:c r="J158" s="19" t="str">
        <x:v>specialist clinic</x:v>
      </x:c>
      <x:c r="K158" s="19" t="str">
        <x:v>referral; specialist review; follow-up</x:v>
      </x:c>
      <x:c r="L158" s="19" t="str">
        <x:v>conditions needing specialist opinion or diagnostic pathway</x:v>
      </x:c>
      <x:c r="M158" s="19" t="str">
        <x:v>wrong specialty; referral delay; poor handoff</x:v>
      </x:c>
      <x:c r="N158" s="19" t="str">
        <x:v>Referral triage creates a new work queue where responsibility can be unclear to patient and referrer.</x:v>
      </x:c>
      <x:c r="O158" s="19" t="str">
        <x:v>Referral Assessment Services allow provider review before booking; outcomes include booking, redirecting, requesting more info, or returning advice.</x:v>
      </x:c>
      <x:c r="P158" s="19" t="str">
        <x:v>Identified: suitable pathway before appointment; missed: wrong worklist/status or insufficient referral information delays care.</x:v>
      </x:c>
      <x:c r="Q158" s="19" t="str"/>
      <x:c r="R158" s="19" t="str">
        <x:v>Make referral state and owner visible to referrer and patient; alert when more information is requested or referral returned.</x:v>
      </x:c>
      <x:c r="S158" s="19" t="str">
        <x:v>high</x:v>
      </x:c>
      <x:c r="T158" s="19" t="str">
        <x:v>02_extracted_evidence/evidence_items.csv</x:v>
      </x:c>
      <x:c r="U158" s="19" t="str">
        <x:v>research_evidence_package_health_system_patient_flows_2026-05-30.tar.gz::02_extracted_evidence/evidence_items.csv::E027</x:v>
      </x:c>
    </x:row>
    <x:row r="159">
      <x:c r="A159" s="19" t="str">
        <x:v>A_flows</x:v>
      </x:c>
      <x:c r="B159" s="19" t="str">
        <x:v>research_evidence_package_health_system_patient_flows_2026-05-30.tar.gz</x:v>
      </x:c>
      <x:c r="C159" s="19" t="str">
        <x:v>Research A / health-system patient flows</x:v>
      </x:c>
      <x:c r="D159" s="19" t="str">
        <x:v>evidence_item</x:v>
      </x:c>
      <x:c r="E159" s="19" t="str">
        <x:v>E028</x:v>
      </x:c>
      <x:c r="F159" s="19" t="str">
        <x:v>S28</x:v>
      </x:c>
      <x:c r="G159" s="19" t="str">
        <x:v>Diagnostic services - NHS e-Referral Service</x:v>
      </x:c>
      <x:c r="H159" s="19" t="str">
        <x:v>https://digital.nhs.uk/services/e-referral-service/document-library/diagnostic-services</x:v>
      </x:c>
      <x:c r="I159" s="19" t="str">
        <x:v>England</x:v>
      </x:c>
      <x:c r="J159" s="19" t="str">
        <x:v>hospital outpatient / diagnostic services</x:v>
      </x:c>
      <x:c r="K159" s="19" t="str">
        <x:v>referral; imaging ordered; labs ordered; specialist review</x:v>
      </x:c>
      <x:c r="L159" s="19" t="str">
        <x:v>conditions suitable for direct-to-test or clinical assessment</x:v>
      </x:c>
      <x:c r="M159" s="19" t="str">
        <x:v>incomplete history; wrong specialty; documentation error</x:v>
      </x:c>
      <x:c r="N159" s="19" t="str">
        <x:v>Straight-to-test pathways are efficient only when referral information is complete.</x:v>
      </x:c>
      <x:c r="O159" s="19" t="str">
        <x:v>Diagnostic e-RS models include direct-to-test, clinical assessment then test, and one-stop consultant-led models.</x:v>
      </x:c>
      <x:c r="P159" s="19" t="str">
        <x:v>Identified: bypassing first outpatient appointment for needed tests; missed: poor referral templates can omit critical context.</x:v>
      </x:c>
      <x:c r="Q159" s="19" t="str"/>
      <x:c r="R159" s="19" t="str">
        <x:v>Embed mandatory clinical context fields and feedback loops for rejected/inappropriate tests.</x:v>
      </x:c>
      <x:c r="S159" s="19" t="str">
        <x:v>medium</x:v>
      </x:c>
      <x:c r="T159" s="19" t="str">
        <x:v>02_extracted_evidence/evidence_items.csv</x:v>
      </x:c>
      <x:c r="U159" s="19" t="str">
        <x:v>research_evidence_package_health_system_patient_flows_2026-05-30.tar.gz::02_extracted_evidence/evidence_items.csv::E028</x:v>
      </x:c>
    </x:row>
    <x:row r="160">
      <x:c r="A160" s="19" t="str">
        <x:v>A_flows</x:v>
      </x:c>
      <x:c r="B160" s="19" t="str">
        <x:v>research_evidence_package_health_system_patient_flows_2026-05-30.tar.gz</x:v>
      </x:c>
      <x:c r="C160" s="19" t="str">
        <x:v>Research A / health-system patient flows</x:v>
      </x:c>
      <x:c r="D160" s="19" t="str">
        <x:v>evidence_item</x:v>
      </x:c>
      <x:c r="E160" s="19" t="str">
        <x:v>E029</x:v>
      </x:c>
      <x:c r="F160" s="19" t="str">
        <x:v>S29</x:v>
      </x:c>
      <x:c r="G160" s="19" t="str">
        <x:v>Outpatient recovery and transformation improvement guide</x:v>
      </x:c>
      <x:c r="H160" s="19" t="str">
        <x:v>https://www.england.nhs.uk/long-read/outpatient-recovery-and-transformation-improvement-guide/</x:v>
      </x:c>
      <x:c r="I160" s="19" t="str">
        <x:v>England</x:v>
      </x:c>
      <x:c r="J160" s="19" t="str">
        <x:v>hospital outpatient / specialist clinic</x:v>
      </x:c>
      <x:c r="K160" s="19" t="str">
        <x:v>referral; specialist review; imaging/labs ordered; follow-up</x:v>
      </x:c>
      <x:c r="L160" s="19" t="str">
        <x:v>gastrointestinal and other specialty referrals</x:v>
      </x:c>
      <x:c r="M160" s="19" t="str">
        <x:v>referral delay; no follow-up ownership; normal-test trap</x:v>
      </x:c>
      <x:c r="N160" s="19" t="str">
        <x:v>Advice can reduce unnecessary appointments but must not become a soft rejection of unresolved symptoms.</x:v>
      </x:c>
      <x:c r="O160" s="19" t="str">
        <x:v>Improvement guide promotes advice/guidance, straight-to-test, pre-appointment hubs; one GI case cut waits through advice and e-RS.</x:v>
      </x:c>
      <x:c r="P160" s="19" t="str">
        <x:v>Identified: faster specialist input; missed: advice-only management without clear follow-up if symptoms persist.</x:v>
      </x:c>
      <x:c r="Q160" s="19" t="str"/>
      <x:c r="R160" s="19" t="str">
        <x:v>Record advice decisions with safety-net tasks and escalation criteria.</x:v>
      </x:c>
      <x:c r="S160" s="19" t="str">
        <x:v>medium</x:v>
      </x:c>
      <x:c r="T160" s="19" t="str">
        <x:v>02_extracted_evidence/evidence_items.csv</x:v>
      </x:c>
      <x:c r="U160" s="19" t="str">
        <x:v>research_evidence_package_health_system_patient_flows_2026-05-30.tar.gz::02_extracted_evidence/evidence_items.csv::E029</x:v>
      </x:c>
    </x:row>
    <x:row r="161">
      <x:c r="A161" s="19" t="str">
        <x:v>A_flows</x:v>
      </x:c>
      <x:c r="B161" s="19" t="str">
        <x:v>research_evidence_package_health_system_patient_flows_2026-05-30.tar.gz</x:v>
      </x:c>
      <x:c r="C161" s="19" t="str">
        <x:v>Research A / health-system patient flows</x:v>
      </x:c>
      <x:c r="D161" s="19" t="str">
        <x:v>evidence_item</x:v>
      </x:c>
      <x:c r="E161" s="19" t="str">
        <x:v>E030</x:v>
      </x:c>
      <x:c r="F161" s="19" t="str">
        <x:v>S30</x:v>
      </x:c>
      <x:c r="G161" s="19" t="str">
        <x:v>Health Center Program Compliance Manual: Continuity of Care and Hospital Admitting</x:v>
      </x:c>
      <x:c r="H161" s="19" t="str">
        <x:v>https://bphc.hrsa.gov/compliance/compliance-manual/chapter7</x:v>
      </x:c>
      <x:c r="I161" s="19" t="str">
        <x:v>US</x:v>
      </x:c>
      <x:c r="J161" s="19" t="str">
        <x:v>community health center</x:v>
      </x:c>
      <x:c r="K161" s="19" t="str">
        <x:v>referral; discharge; follow-up</x:v>
      </x:c>
      <x:c r="L161" s="19" t="str">
        <x:v>post-ED/hospital follow-up and ongoing primary-care needs</x:v>
      </x:c>
      <x:c r="M161" s="19" t="str">
        <x:v>poor handoff; fragmented care; no follow-up ownership</x:v>
      </x:c>
      <x:c r="N161" s="19" t="str">
        <x:v>Safety-net clinics may be responsible for follow-up despite care occurring elsewhere.</x:v>
      </x:c>
      <x:c r="O161" s="19" t="str">
        <x:v>Health centers must have referral/hospital arrangements and processes to receive/record ED or hospital visit information and follow-up actions.</x:v>
      </x:c>
      <x:c r="P161" s="19" t="str">
        <x:v>Identified: need for continuity; missed: discharge info not received or tracked.</x:v>
      </x:c>
      <x:c r="Q161" s="19" t="str"/>
      <x:c r="R161" s="19" t="str">
        <x:v>Ingest outside discharge/test data and assign follow-up ownership automatically.</x:v>
      </x:c>
      <x:c r="S161" s="19" t="str">
        <x:v>high</x:v>
      </x:c>
      <x:c r="T161" s="19" t="str">
        <x:v>02_extracted_evidence/evidence_items.csv</x:v>
      </x:c>
      <x:c r="U161" s="19" t="str">
        <x:v>research_evidence_package_health_system_patient_flows_2026-05-30.tar.gz::02_extracted_evidence/evidence_items.csv::E030</x:v>
      </x:c>
    </x:row>
    <x:row r="162">
      <x:c r="A162" s="19" t="str">
        <x:v>A_flows</x:v>
      </x:c>
      <x:c r="B162" s="19" t="str">
        <x:v>research_evidence_package_health_system_patient_flows_2026-05-30.tar.gz</x:v>
      </x:c>
      <x:c r="C162" s="19" t="str">
        <x:v>Research A / health-system patient flows</x:v>
      </x:c>
      <x:c r="D162" s="19" t="str">
        <x:v>evidence_item</x:v>
      </x:c>
      <x:c r="E162" s="19" t="str">
        <x:v>E031</x:v>
      </x:c>
      <x:c r="F162" s="19" t="str">
        <x:v>S31</x:v>
      </x:c>
      <x:c r="G162" s="19" t="str">
        <x:v>Health Center Program: Patient-Centered Medical Home</x:v>
      </x:c>
      <x:c r="H162" s="19" t="str">
        <x:v>https://bphc.hrsa.gov/technical-assistance/clinical-quality-improvement/patient-centered-medical-home</x:v>
      </x:c>
      <x:c r="I162" s="19" t="str">
        <x:v>US</x:v>
      </x:c>
      <x:c r="J162" s="19" t="str">
        <x:v>community health center</x:v>
      </x:c>
      <x:c r="K162" s="19" t="str">
        <x:v>long-term monitoring; follow-up; referral</x:v>
      </x:c>
      <x:c r="L162" s="19" t="str">
        <x:v>chronic disease and preventive care</x:v>
      </x:c>
      <x:c r="M162" s="19" t="str">
        <x:v>fragmented care; no follow-up ownership</x:v>
      </x:c>
      <x:c r="N162" s="19" t="str">
        <x:v>Coordination is a model, not a closed-loop diagnostic guarantee.</x:v>
      </x:c>
      <x:c r="O162" s="19" t="str">
        <x:v>PCMH recognition emphasizes care coordination and continuous quality improvement in health centers.</x:v>
      </x:c>
      <x:c r="P162" s="19" t="str">
        <x:v>Identified: coordination model; missed: PCMH standards may not guarantee specific diagnostic follow-up closure without local systems.</x:v>
      </x:c>
      <x:c r="Q162" s="19" t="str"/>
      <x:c r="R162" s="19" t="str">
        <x:v>Translate PCMH concepts into concrete diagnostic queues, unresolved-symptom lists and abnormal-result registries.</x:v>
      </x:c>
      <x:c r="S162" s="19" t="str">
        <x:v>medium</x:v>
      </x:c>
      <x:c r="T162" s="19" t="str">
        <x:v>02_extracted_evidence/evidence_items.csv</x:v>
      </x:c>
      <x:c r="U162" s="19" t="str">
        <x:v>research_evidence_package_health_system_patient_flows_2026-05-30.tar.gz::02_extracted_evidence/evidence_items.csv::E031</x:v>
      </x:c>
    </x:row>
    <x:row r="163">
      <x:c r="A163" s="19" t="str">
        <x:v>A_flows</x:v>
      </x:c>
      <x:c r="B163" s="19" t="str">
        <x:v>research_evidence_package_health_system_patient_flows_2026-05-30.tar.gz</x:v>
      </x:c>
      <x:c r="C163" s="19" t="str">
        <x:v>Research A / health-system patient flows</x:v>
      </x:c>
      <x:c r="D163" s="19" t="str">
        <x:v>evidence_item</x:v>
      </x:c>
      <x:c r="E163" s="19" t="str">
        <x:v>E032</x:v>
      </x:c>
      <x:c r="F163" s="19" t="str">
        <x:v>S32</x:v>
      </x:c>
      <x:c r="G163" s="19" t="str">
        <x:v>Reach and effectiveness of a centralized navigation program for patients with positive FITs</x:v>
      </x:c>
      <x:c r="H163" s="19" t="str">
        <x:v>https://www.sciencedirect.com/science/article/pii/S221133552300102X</x:v>
      </x:c>
      <x:c r="I163" s="19" t="str">
        <x:v>US: North Carolina</x:v>
      </x:c>
      <x:c r="J163" s="19" t="str">
        <x:v>community health center / public health screening</x:v>
      </x:c>
      <x:c r="K163" s="19" t="str">
        <x:v>public health screening; lab interpretation; referral; follow-up</x:v>
      </x:c>
      <x:c r="L163" s="19" t="str">
        <x:v>colorectal cancer risk after abnormal FIT</x:v>
      </x:c>
      <x:c r="M163" s="19" t="str">
        <x:v>abnormal result not followed up; patient self-advocacy required; no follow-up ownership</x:v>
      </x:c>
      <x:c r="N163" s="19" t="str">
        <x:v>Abnormal screening is only useful if diagnostic colonoscopy happens.</x:v>
      </x:c>
      <x:c r="O163" s="19" t="str">
        <x:v>Mailed FIT outreach identified abnormal results; centralized patient navigation addressed informational, emotional, financial and transport barriers to colonoscopy.</x:v>
      </x:c>
      <x:c r="P163" s="19" t="str">
        <x:v>Identified: abnormal FIT needing colonoscopy; missed: patients not reached or declining navigation remain at risk.</x:v>
      </x:c>
      <x:c r="Q163" s="19" t="str"/>
      <x:c r="R163" s="19" t="str">
        <x:v>Track abnormal-screen closure and navigator barrier categories to completion.</x:v>
      </x:c>
      <x:c r="S163" s="19" t="str">
        <x:v>medium</x:v>
      </x:c>
      <x:c r="T163" s="19" t="str">
        <x:v>02_extracted_evidence/evidence_items.csv</x:v>
      </x:c>
      <x:c r="U163" s="19" t="str">
        <x:v>research_evidence_package_health_system_patient_flows_2026-05-30.tar.gz::02_extracted_evidence/evidence_items.csv::E032</x:v>
      </x:c>
    </x:row>
    <x:row r="164">
      <x:c r="A164" s="19" t="str">
        <x:v>A_flows</x:v>
      </x:c>
      <x:c r="B164" s="19" t="str">
        <x:v>research_evidence_package_health_system_patient_flows_2026-05-30.tar.gz</x:v>
      </x:c>
      <x:c r="C164" s="19" t="str">
        <x:v>Research A / health-system patient flows</x:v>
      </x:c>
      <x:c r="D164" s="19" t="str">
        <x:v>evidence_item</x:v>
      </x:c>
      <x:c r="E164" s="19" t="str">
        <x:v>E033</x:v>
      </x:c>
      <x:c r="F164" s="19" t="str">
        <x:v>S33</x:v>
      </x:c>
      <x:c r="G164" s="19" t="str">
        <x:v>Implementing a successful patient navigation program for follow-up colonoscopy after abnormal FIT</x:v>
      </x:c>
      <x:c r="H164" s="19" t="str">
        <x:v>https://journals.plos.org/plosone/article?id=10.1371/journal.pone.0343659</x:v>
      </x:c>
      <x:c r="I164" s="19" t="str">
        <x:v>US: Washington state</x:v>
      </x:c>
      <x:c r="J164" s="19" t="str">
        <x:v>community health center / screening</x:v>
      </x:c>
      <x:c r="K164" s="19" t="str">
        <x:v>public health screening; referral; follow-up</x:v>
      </x:c>
      <x:c r="L164" s="19" t="str">
        <x:v>abnormal FIT requiring colonoscopy</x:v>
      </x:c>
      <x:c r="M164" s="19" t="str">
        <x:v>referral delay; fragmented care; documentation error</x:v>
      </x:c>
      <x:c r="N164" s="19" t="str">
        <x:v>Navigation fails if it is not staffed, documented, partnered and tracked.</x:v>
      </x:c>
      <x:c r="O164" s="19" t="str">
        <x:v>PRECISE trial implementation support trained navigators and documented challenges in workload, documentation, partnerships and tracking.</x:v>
      </x:c>
      <x:c r="P164" s="19" t="str">
        <x:v>unknown</x:v>
      </x:c>
      <x:c r="Q164" s="19" t="str"/>
      <x:c r="R164" s="19" t="str">
        <x:v>Build navigator work queues, cross-organization data sharing and colonoscopy-status reconciliation.</x:v>
      </x:c>
      <x:c r="S164" s="19" t="str">
        <x:v>medium</x:v>
      </x:c>
      <x:c r="T164" s="19" t="str">
        <x:v>02_extracted_evidence/evidence_items.csv</x:v>
      </x:c>
      <x:c r="U164" s="19" t="str">
        <x:v>research_evidence_package_health_system_patient_flows_2026-05-30.tar.gz::02_extracted_evidence/evidence_items.csv::E033</x:v>
      </x:c>
    </x:row>
    <x:row r="165">
      <x:c r="A165" s="19" t="str">
        <x:v>A_flows</x:v>
      </x:c>
      <x:c r="B165" s="19" t="str">
        <x:v>research_evidence_package_health_system_patient_flows_2026-05-30.tar.gz</x:v>
      </x:c>
      <x:c r="C165" s="19" t="str">
        <x:v>Research A / health-system patient flows</x:v>
      </x:c>
      <x:c r="D165" s="19" t="str">
        <x:v>evidence_item</x:v>
      </x:c>
      <x:c r="E165" s="19" t="str">
        <x:v>E034</x:v>
      </x:c>
      <x:c r="F165" s="19" t="str">
        <x:v>S34</x:v>
      </x:c>
      <x:c r="G165" s="19" t="str">
        <x:v>Bowel cancer screening</x:v>
      </x:c>
      <x:c r="H165" s="19" t="str">
        <x:v>https://www.nhs.uk/tests-and-treatments/bowel-cancer-screening/</x:v>
      </x:c>
      <x:c r="I165" s="19" t="str">
        <x:v>England</x:v>
      </x:c>
      <x:c r="J165" s="19" t="str">
        <x:v>public health screening</x:v>
      </x:c>
      <x:c r="K165" s="19" t="str">
        <x:v>before visit; public health screening; lab interpretation; referral; follow-up</x:v>
      </x:c>
      <x:c r="L165" s="19" t="str">
        <x:v>bowel cancer</x:v>
      </x:c>
      <x:c r="M165" s="19" t="str">
        <x:v>normal-test trap; no follow-up ownership</x:v>
      </x:c>
      <x:c r="N165" s="19" t="str">
        <x:v>Screening can create false reassurance if symptoms are separated from screening result interpretation.</x:v>
      </x:c>
      <x:c r="O165" s="19" t="str">
        <x:v>Eligible people receive FIT at home; results usually within 2 weeks; further tests lead to specialist nurse and usually colonoscopy; negative screen does not rule out cancer if symptoms occur.</x:v>
      </x:c>
      <x:c r="P165" s="19" t="str">
        <x:v>Identified: occult blood needing diagnostic work-up; missed: symptomatic people reassured by negative screening result.</x:v>
      </x:c>
      <x:c r="Q165" s="19" t="str"/>
      <x:c r="R165" s="19" t="str">
        <x:v>Pair negative results with symptom-trigger advice and GP follow-up prompts.</x:v>
      </x:c>
      <x:c r="S165" s="19" t="str">
        <x:v>high</x:v>
      </x:c>
      <x:c r="T165" s="19" t="str">
        <x:v>02_extracted_evidence/evidence_items.csv</x:v>
      </x:c>
      <x:c r="U165" s="19" t="str">
        <x:v>research_evidence_package_health_system_patient_flows_2026-05-30.tar.gz::02_extracted_evidence/evidence_items.csv::E034</x:v>
      </x:c>
    </x:row>
    <x:row r="166">
      <x:c r="A166" s="19" t="str">
        <x:v>A_flows</x:v>
      </x:c>
      <x:c r="B166" s="19" t="str">
        <x:v>research_evidence_package_health_system_patient_flows_2026-05-30.tar.gz</x:v>
      </x:c>
      <x:c r="C166" s="19" t="str">
        <x:v>Research A / health-system patient flows</x:v>
      </x:c>
      <x:c r="D166" s="19" t="str">
        <x:v>evidence_item</x:v>
      </x:c>
      <x:c r="E166" s="19" t="str">
        <x:v>E035</x:v>
      </x:c>
      <x:c r="F166" s="19" t="str">
        <x:v>S35</x:v>
      </x:c>
      <x:c r="G166" s="19" t="str">
        <x:v>Breast screening programme: pathway requirements</x:v>
      </x:c>
      <x:c r="H166" s="19" t="str">
        <x:v>https://www.gov.uk/government/publications/breast-screening-programme-pathway-requirements/breast-screening-programme-pathway-requirements</x:v>
      </x:c>
      <x:c r="I166" s="19" t="str">
        <x:v>England</x:v>
      </x:c>
      <x:c r="J166" s="19" t="str">
        <x:v>public health screening</x:v>
      </x:c>
      <x:c r="K166" s="19" t="str">
        <x:v>before visit; public health screening; imaging ordered; imaging interpretation; specialist review</x:v>
      </x:c>
      <x:c r="L166" s="19" t="str">
        <x:v>breast cancer</x:v>
      </x:c>
      <x:c r="M166" s="19" t="str">
        <x:v>no follow-up ownership; abnormal result not followed up; patient self-advocacy required</x:v>
      </x:c>
      <x:c r="N166" s="19" t="str">
        <x:v>Population screening has a built-in non-attendance black zone.</x:v>
      </x:c>
      <x:c r="O166" s="19" t="str">
        <x:v>Programme sends invitations, performs mammography, recalls non-attenders/technical failures, and sends abnormal cases to assessment clinic/MDT.</x:v>
      </x:c>
      <x:c r="P166" s="19" t="str">
        <x:v>Identified: mammographic abnormalities; missed: non-attendance, unclear images, communication failures.</x:v>
      </x:c>
      <x:c r="Q166" s="19" t="str"/>
      <x:c r="R166" s="19" t="str">
        <x:v>Track invitations to attendance to result to assessment closure, including failed contacts.</x:v>
      </x:c>
      <x:c r="S166" s="19" t="str">
        <x:v>high</x:v>
      </x:c>
      <x:c r="T166" s="19" t="str">
        <x:v>02_extracted_evidence/evidence_items.csv</x:v>
      </x:c>
      <x:c r="U166" s="19" t="str">
        <x:v>research_evidence_package_health_system_patient_flows_2026-05-30.tar.gz::02_extracted_evidence/evidence_items.csv::E035</x:v>
      </x:c>
    </x:row>
    <x:row r="167">
      <x:c r="A167" s="19" t="str">
        <x:v>A_flows</x:v>
      </x:c>
      <x:c r="B167" s="19" t="str">
        <x:v>research_evidence_package_health_system_patient_flows_2026-05-30.tar.gz</x:v>
      </x:c>
      <x:c r="C167" s="19" t="str">
        <x:v>Research A / health-system patient flows</x:v>
      </x:c>
      <x:c r="D167" s="19" t="str">
        <x:v>evidence_item</x:v>
      </x:c>
      <x:c r="E167" s="19" t="str">
        <x:v>E036</x:v>
      </x:c>
      <x:c r="F167" s="19" t="str">
        <x:v>S37</x:v>
      </x:c>
      <x:c r="G167" s="19" t="str">
        <x:v>Patient Navigation</x:v>
      </x:c>
      <x:c r="H167" s="19" t="str">
        <x:v>https://www.cdc.gov/cancer/php/interventions/patient-navigation.html</x:v>
      </x:c>
      <x:c r="I167" s="19" t="str">
        <x:v>US</x:v>
      </x:c>
      <x:c r="J167" s="19" t="str">
        <x:v>public health screening / community</x:v>
      </x:c>
      <x:c r="K167" s="19" t="str">
        <x:v>before visit; referral; follow-up</x:v>
      </x:c>
      <x:c r="L167" s="19" t="str">
        <x:v>breast, cervical, colorectal cancer screening and diagnosis</x:v>
      </x:c>
      <x:c r="M167" s="19" t="str">
        <x:v>fragmented care; patient self-advocacy required; referral delay</x:v>
      </x:c>
      <x:c r="N167" s="19" t="str">
        <x:v>The problem is often not clinical detection but completion of the next step.</x:v>
      </x:c>
      <x:c r="O167" s="19" t="str">
        <x:v>CDC describes navigators helping people overcome practical, informational and trust barriers to screening and diagnosis.</x:v>
      </x:c>
      <x:c r="P167" s="19" t="str">
        <x:v>Identified: access barriers; missed: patients who disappear between positive screen and diagnostic test.</x:v>
      </x:c>
      <x:c r="Q167" s="19" t="str"/>
      <x:c r="R167" s="19" t="str">
        <x:v>Barrier taxonomy should be part of follow-up workflow, not free-text only.</x:v>
      </x:c>
      <x:c r="S167" s="19" t="str">
        <x:v>high</x:v>
      </x:c>
      <x:c r="T167" s="19" t="str">
        <x:v>02_extracted_evidence/evidence_items.csv</x:v>
      </x:c>
      <x:c r="U167" s="19" t="str">
        <x:v>research_evidence_package_health_system_patient_flows_2026-05-30.tar.gz::02_extracted_evidence/evidence_items.csv::E036</x:v>
      </x:c>
    </x:row>
    <x:row r="168">
      <x:c r="A168" s="19" t="str">
        <x:v>A_flows</x:v>
      </x:c>
      <x:c r="B168" s="19" t="str">
        <x:v>research_evidence_package_health_system_patient_flows_2026-05-30.tar.gz</x:v>
      </x:c>
      <x:c r="C168" s="19" t="str">
        <x:v>Research A / health-system patient flows</x:v>
      </x:c>
      <x:c r="D168" s="19" t="str">
        <x:v>evidence_item</x:v>
      </x:c>
      <x:c r="E168" s="19" t="str">
        <x:v>E037</x:v>
      </x:c>
      <x:c r="F168" s="19" t="str">
        <x:v>S38</x:v>
      </x:c>
      <x:c r="G168" s="19" t="str">
        <x:v>Ayushman Bharat: Comprehensive Primary Health Care through Health and Wellness Centres</x:v>
      </x:c>
      <x:c r="H168" s="19" t="str">
        <x:v>https://aam.mohfw.gov.in/download/document/45a4ab64b74ab124cfd853ec9a0127e4.pdf</x:v>
      </x:c>
      <x:c r="I168" s="19" t="str">
        <x:v>India</x:v>
      </x:c>
      <x:c r="J168" s="19" t="str">
        <x:v>community health center / rural clinic</x:v>
      </x:c>
      <x:c r="K168" s="19" t="str">
        <x:v>before visit; home/community visit; public health screening; referral; long-term monitoring</x:v>
      </x:c>
      <x:c r="L168" s="19" t="str">
        <x:v>hypertension, diabetes, oral/breast/cervical cancer, mental health, child illness and broader PHC</x:v>
      </x:c>
      <x:c r="M168" s="19" t="str">
        <x:v>referral delay; no follow-up ownership; lab trend missed</x:v>
      </x:c>
      <x:c r="N168" s="19" t="str">
        <x:v>Community screening creates many positive signals that need tracking beyond the first contact.</x:v>
      </x:c>
      <x:c r="O168" s="19" t="str">
        <x:v>HWCs use empanelment, home/community interaction and universal screening to identify risks before clinic attendance; CHO leads HWC team and referrals.</x:v>
      </x:c>
      <x:c r="P168" s="19" t="str">
        <x:v>Identified: hidden NCD/cancer risk; missed: follow-up/compliance if referral loop is not closed.</x:v>
      </x:c>
      <x:c r="Q168" s="19" t="str"/>
      <x:c r="R168" s="19" t="str">
        <x:v>Use community registry, positive-screen worklist and two-way referral closure with ASHA follow-up.</x:v>
      </x:c>
      <x:c r="S168" s="19" t="str">
        <x:v>high</x:v>
      </x:c>
      <x:c r="T168" s="19" t="str">
        <x:v>02_extracted_evidence/evidence_items.csv</x:v>
      </x:c>
      <x:c r="U168" s="19" t="str">
        <x:v>research_evidence_package_health_system_patient_flows_2026-05-30.tar.gz::02_extracted_evidence/evidence_items.csv::E037</x:v>
      </x:c>
    </x:row>
    <x:row r="169">
      <x:c r="A169" s="19" t="str">
        <x:v>A_flows</x:v>
      </x:c>
      <x:c r="B169" s="19" t="str">
        <x:v>research_evidence_package_health_system_patient_flows_2026-05-30.tar.gz</x:v>
      </x:c>
      <x:c r="C169" s="19" t="str">
        <x:v>Research A / health-system patient flows</x:v>
      </x:c>
      <x:c r="D169" s="19" t="str">
        <x:v>evidence_item</x:v>
      </x:c>
      <x:c r="E169" s="19" t="str">
        <x:v>E038</x:v>
      </x:c>
      <x:c r="F169" s="19" t="str">
        <x:v>S39</x:v>
      </x:c>
      <x:c r="G169" s="19" t="str">
        <x:v>Integrated Management of Childhood Illness</x:v>
      </x:c>
      <x:c r="H169" s="19" t="str">
        <x:v>https://www.who.int/teams/maternal-newborn-child-adolescent-health-and-ageing/child-health/integrated-management-of-childhood-illness/</x:v>
      </x:c>
      <x:c r="I169" s="19" t="str">
        <x:v>LMIC / global</x:v>
      </x:c>
      <x:c r="J169" s="19" t="str">
        <x:v>low-resource clinic</x:v>
      </x:c>
      <x:c r="K169" s="19" t="str">
        <x:v>medical history; physical exam; referral; emergency escalation</x:v>
      </x:c>
      <x:c r="L169" s="19" t="str">
        <x:v>childhood illnesses including pneumonia, diarrhoea, malaria, malnutrition</x:v>
      </x:c>
      <x:c r="M169" s="19" t="str">
        <x:v>red flag missed; referral delay; incomplete history</x:v>
      </x:c>
      <x:c r="N169" s="19" t="str">
        <x:v>Low-resource workflows depend heavily on algorithms and referral availability.</x:v>
      </x:c>
      <x:c r="O169" s="19" t="str">
        <x:v>IMCI uses evidence-based algorithms based on history/signs/symptoms when lab/radiology support is limited; includes treatment, counselling and referral for severe illness.</x:v>
      </x:c>
      <x:c r="P169" s="19" t="str">
        <x:v>Identified: severe illness and common syndromes without diagnostics; missed: atypical illness not covered by algorithm or supply/referral gaps.</x:v>
      </x:c>
      <x:c r="Q169" s="19" t="str"/>
      <x:c r="R169" s="19" t="str">
        <x:v>Show algorithm branch, missing supplies/tests and referral transport feasibility as workflow state.</x:v>
      </x:c>
      <x:c r="S169" s="19" t="str">
        <x:v>high</x:v>
      </x:c>
      <x:c r="T169" s="19" t="str">
        <x:v>02_extracted_evidence/evidence_items.csv</x:v>
      </x:c>
      <x:c r="U169" s="19" t="str">
        <x:v>research_evidence_package_health_system_patient_flows_2026-05-30.tar.gz::02_extracted_evidence/evidence_items.csv::E038</x:v>
      </x:c>
    </x:row>
    <x:row r="170">
      <x:c r="A170" s="19" t="str">
        <x:v>A_flows</x:v>
      </x:c>
      <x:c r="B170" s="19" t="str">
        <x:v>research_evidence_package_health_system_patient_flows_2026-05-30.tar.gz</x:v>
      </x:c>
      <x:c r="C170" s="19" t="str">
        <x:v>Research A / health-system patient flows</x:v>
      </x:c>
      <x:c r="D170" s="19" t="str">
        <x:v>evidence_item</x:v>
      </x:c>
      <x:c r="E170" s="19" t="str">
        <x:v>E039</x:v>
      </x:c>
      <x:c r="F170" s="19" t="str">
        <x:v>S40</x:v>
      </x:c>
      <x:c r="G170" s="19" t="str">
        <x:v>Integrated Community Case Management (iCCM)</x:v>
      </x:c>
      <x:c r="H170" s="19" t="str">
        <x:v>https://www.childhealthtaskforce.org/hubs/iccm</x:v>
      </x:c>
      <x:c r="I170" s="19" t="str">
        <x:v>LMIC / hard-to-reach communities</x:v>
      </x:c>
      <x:c r="J170" s="19" t="str">
        <x:v>home/community visit</x:v>
      </x:c>
      <x:c r="K170" s="19" t="str">
        <x:v>before visit; home/community visit; emergency escalation</x:v>
      </x:c>
      <x:c r="L170" s="19" t="str">
        <x:v>malaria, pneumonia, diarrhoea in children under five</x:v>
      </x:c>
      <x:c r="M170" s="19" t="str">
        <x:v>referral delay; poor handoff; low-resource supply gap</x:v>
      </x:c>
      <x:c r="N170" s="19" t="str">
        <x:v>The first diagnostic encounter may happen at home, not a clinic.</x:v>
      </x:c>
      <x:c r="O170" s="19" t="str">
        <x:v>iCCM trains/supplies CHWs to diagnose/classify/treat uncomplicated cases and refer severe illness.</x:v>
      </x:c>
      <x:c r="P170" s="19" t="str">
        <x:v>Identified: common child illnesses outside facilities; missed: severe cases if CHW stockout, training gaps or referral failure.</x:v>
      </x:c>
      <x:c r="Q170" s="19" t="str"/>
      <x:c r="R170" s="19" t="str">
        <x:v>Design offline-first CHW decision support with danger-sign escalation and referral feedback.</x:v>
      </x:c>
      <x:c r="S170" s="19" t="str">
        <x:v>medium</x:v>
      </x:c>
      <x:c r="T170" s="19" t="str">
        <x:v>02_extracted_evidence/evidence_items.csv</x:v>
      </x:c>
      <x:c r="U170" s="19" t="str">
        <x:v>research_evidence_package_health_system_patient_flows_2026-05-30.tar.gz::02_extracted_evidence/evidence_items.csv::E039</x:v>
      </x:c>
    </x:row>
    <x:row r="171">
      <x:c r="A171" s="19" t="str">
        <x:v>A_flows</x:v>
      </x:c>
      <x:c r="B171" s="19" t="str">
        <x:v>research_evidence_package_health_system_patient_flows_2026-05-30.tar.gz</x:v>
      </x:c>
      <x:c r="C171" s="19" t="str">
        <x:v>Research A / health-system patient flows</x:v>
      </x:c>
      <x:c r="D171" s="19" t="str">
        <x:v>evidence_item</x:v>
      </x:c>
      <x:c r="E171" s="19" t="str">
        <x:v>E040</x:v>
      </x:c>
      <x:c r="F171" s="19" t="str">
        <x:v>S41</x:v>
      </x:c>
      <x:c r="G171" s="19" t="str">
        <x:v>Community-based case management: the RAcE programme</x:v>
      </x:c>
      <x:c r="H171" s="19" t="str">
        <x:v>https://www.who.int/teams/global-malaria-programme/case-management/community-based-case-management-race-programme</x:v>
      </x:c>
      <x:c r="I171" s="19" t="str">
        <x:v>DRC, Malawi, Mozambique, Niger, Nigeria</x:v>
      </x:c>
      <x:c r="J171" s="19" t="str">
        <x:v>home/community visit</x:v>
      </x:c>
      <x:c r="K171" s="19" t="str">
        <x:v>home/community visit; referral; follow-up</x:v>
      </x:c>
      <x:c r="L171" s="19" t="str">
        <x:v>malaria, pneumonia, diarrhoea in under-five children</x:v>
      </x:c>
      <x:c r="M171" s="19" t="str">
        <x:v>poor handoff; no follow-up ownership; fragmented care</x:v>
      </x:c>
      <x:c r="N171" s="19" t="str">
        <x:v>Community programmes can generate care access but require supervision and integration with facilities.</x:v>
      </x:c>
      <x:c r="O171" s="19" t="str">
        <x:v>RAcE supported iCCM scale-up through CHW training, supplies and diagnosis/treatment/referral in five countries.</x:v>
      </x:c>
      <x:c r="P171" s="19" t="str">
        <x:v>Identified: millions of common illness episodes; missed: sustainability, supervision and integration challenges.</x:v>
      </x:c>
      <x:c r="Q171" s="19" t="str"/>
      <x:c r="R171" s="19" t="str">
        <x:v>Add supervision, stock, referral and outcome data to CHW workflows.</x:v>
      </x:c>
      <x:c r="S171" s="19" t="str">
        <x:v>medium</x:v>
      </x:c>
      <x:c r="T171" s="19" t="str">
        <x:v>02_extracted_evidence/evidence_items.csv</x:v>
      </x:c>
      <x:c r="U171" s="19" t="str">
        <x:v>research_evidence_package_health_system_patient_flows_2026-05-30.tar.gz::02_extracted_evidence/evidence_items.csv::E040</x:v>
      </x:c>
    </x:row>
    <x:row r="172">
      <x:c r="A172" s="19" t="str">
        <x:v>A_flows</x:v>
      </x:c>
      <x:c r="B172" s="19" t="str">
        <x:v>research_evidence_package_health_system_patient_flows_2026-05-30.tar.gz</x:v>
      </x:c>
      <x:c r="C172" s="19" t="str">
        <x:v>Research A / health-system patient flows</x:v>
      </x:c>
      <x:c r="D172" s="19" t="str">
        <x:v>evidence_item</x:v>
      </x:c>
      <x:c r="E172" s="19" t="str">
        <x:v>E041</x:v>
      </x:c>
      <x:c r="F172" s="19" t="str">
        <x:v>S42</x:v>
      </x:c>
      <x:c r="G172" s="19" t="str">
        <x:v>Effectiveness of a structured triage system in a resource-limited rural hospital in Uganda</x:v>
      </x:c>
      <x:c r="H172" s="19" t="str">
        <x:v>https://link.springer.com/article/10.1186/s12245-025-01005-z</x:v>
      </x:c>
      <x:c r="I172" s="19" t="str">
        <x:v>Uganda</x:v>
      </x:c>
      <x:c r="J172" s="19" t="str">
        <x:v>rural clinic</x:v>
      </x:c>
      <x:c r="K172" s="19" t="str">
        <x:v>arrival; nurse triage; vitals; first clinician assessment</x:v>
      </x:c>
      <x:c r="L172" s="19" t="str">
        <x:v>urgent/emergency cases among general OPD patients</x:v>
      </x:c>
      <x:c r="M172" s="19" t="str">
        <x:v>red flag missed; arrival; poor handoff</x:v>
      </x:c>
      <x:c r="N172" s="19" t="str">
        <x:v>In many rural OPDs, primary and emergency care share a front door with no formal triage.</x:v>
      </x:c>
      <x:c r="O172" s="19" t="str">
        <x:v>Rural OPD implemented IITT-adapted structured triage using a three-colour checklist on charts and short training; patient flow improved without added resources.</x:v>
      </x:c>
      <x:c r="P172" s="19" t="str">
        <x:v>Identified: urgent/emergency cases earlier; missed: undertriage still possible and formal triage requires staff buy-in.</x:v>
      </x:c>
      <x:c r="Q172" s="19" t="str"/>
      <x:c r="R172" s="19" t="str">
        <x:v>Low-cost triage checklists can be embedded into paper charts and later digitized.</x:v>
      </x:c>
      <x:c r="S172" s="19" t="str">
        <x:v>medium</x:v>
      </x:c>
      <x:c r="T172" s="19" t="str">
        <x:v>02_extracted_evidence/evidence_items.csv</x:v>
      </x:c>
      <x:c r="U172" s="19" t="str">
        <x:v>research_evidence_package_health_system_patient_flows_2026-05-30.tar.gz::02_extracted_evidence/evidence_items.csv::E041</x:v>
      </x:c>
    </x:row>
    <x:row r="173">
      <x:c r="A173" s="19" t="str">
        <x:v>A_flows</x:v>
      </x:c>
      <x:c r="B173" s="19" t="str">
        <x:v>research_evidence_package_health_system_patient_flows_2026-05-30.tar.gz</x:v>
      </x:c>
      <x:c r="C173" s="19" t="str">
        <x:v>Research A / health-system patient flows</x:v>
      </x:c>
      <x:c r="D173" s="19" t="str">
        <x:v>evidence_item</x:v>
      </x:c>
      <x:c r="E173" s="19" t="str">
        <x:v>E042</x:v>
      </x:c>
      <x:c r="F173" s="19" t="str">
        <x:v>S43</x:v>
      </x:c>
      <x:c r="G173" s="19" t="str">
        <x:v>Brazil's Family Health Strategy: Using Community Health Workers to Provide Primary Care</x:v>
      </x:c>
      <x:c r="H173" s="19" t="str">
        <x:v>https://www.commonwealthfund.org/publications/case-study/2016/dec/brazils-family-health-strategy-using-community-health-care-workers</x:v>
      </x:c>
      <x:c r="I173" s="19" t="str">
        <x:v>Brazil</x:v>
      </x:c>
      <x:c r="J173" s="19" t="str">
        <x:v>home/community visit</x:v>
      </x:c>
      <x:c r="K173" s="19" t="str">
        <x:v>home/community visit; long-term monitoring; referral</x:v>
      </x:c>
      <x:c r="L173" s="19" t="str">
        <x:v>chronic disease, minor illness, social risk, preventive care</x:v>
      </x:c>
      <x:c r="M173" s="19" t="str">
        <x:v>fragmented care; no one connected the dots; documentation error</x:v>
      </x:c>
      <x:c r="N173" s="19" t="str">
        <x:v>Community knowledge is powerful but can be under-documented or poorly integrated into clinical records.</x:v>
      </x:c>
      <x:c r="O173" s="19" t="str">
        <x:v>CHWs provide home basic care, register families, relay information to teams, resolve low-level problems and refer complex problems.</x:v>
      </x:c>
      <x:c r="P173" s="19" t="str">
        <x:v>Identified: hidden needs and chronic disease adherence issues; missed: signals may be lost if CHW observations do not reach nurse/physician workflow.</x:v>
      </x:c>
      <x:c r="Q173" s="19" t="str"/>
      <x:c r="R173" s="19" t="str">
        <x:v>Create structured CHW observation fields and escalation pathways into primary-care team huddles.</x:v>
      </x:c>
      <x:c r="S173" s="19" t="str">
        <x:v>medium</x:v>
      </x:c>
      <x:c r="T173" s="19" t="str">
        <x:v>02_extracted_evidence/evidence_items.csv</x:v>
      </x:c>
      <x:c r="U173" s="19" t="str">
        <x:v>research_evidence_package_health_system_patient_flows_2026-05-30.tar.gz::02_extracted_evidence/evidence_items.csv::E042</x:v>
      </x:c>
    </x:row>
    <x:row r="174">
      <x:c r="A174" s="19" t="str">
        <x:v>A_flows</x:v>
      </x:c>
      <x:c r="B174" s="19" t="str">
        <x:v>research_evidence_package_health_system_patient_flows_2026-05-30.tar.gz</x:v>
      </x:c>
      <x:c r="C174" s="19" t="str">
        <x:v>Research A / health-system patient flows</x:v>
      </x:c>
      <x:c r="D174" s="19" t="str">
        <x:v>evidence_item</x:v>
      </x:c>
      <x:c r="E174" s="19" t="str">
        <x:v>E043</x:v>
      </x:c>
      <x:c r="F174" s="19" t="str">
        <x:v>S44</x:v>
      </x:c>
      <x:c r="G174" s="19" t="str">
        <x:v>HEARTS in the Americas: Hypertension Clinical Pathways</x:v>
      </x:c>
      <x:c r="H174" s="19" t="str">
        <x:v>https://www.paho.org/en/hearts-americas/hypertension-clinical-pathways</x:v>
      </x:c>
      <x:c r="I174" s="19" t="str">
        <x:v>Latin America / Caribbean</x:v>
      </x:c>
      <x:c r="J174" s="19" t="str">
        <x:v>community health center / primary care</x:v>
      </x:c>
      <x:c r="K174" s="19" t="str">
        <x:v>vitals; labs ordered; lab interpretation; long-term monitoring</x:v>
      </x:c>
      <x:c r="L174" s="19" t="str">
        <x:v>hypertension and cardiovascular risk; diabetes/CKD integration</x:v>
      </x:c>
      <x:c r="M174" s="19" t="str">
        <x:v>lab/vital trend missed; no follow-up ownership</x:v>
      </x:c>
      <x:c r="N174" s="19" t="str">
        <x:v>Screening must connect to protocolized treatment and follow-up, not just identify high BP.</x:v>
      </x:c>
      <x:c r="O174" s="19" t="str">
        <x:v>PAHO HEARTS clinical pathways standardize treatment protocols, proper BP measurement and cardiovascular risk assessment in PHC.</x:v>
      </x:c>
      <x:c r="P174" s="19" t="str">
        <x:v>Identified: hypertension and CVD risk; missed: poor BP technique, lack of treatment intensification or follow-up.</x:v>
      </x:c>
      <x:c r="Q174" s="19" t="str"/>
      <x:c r="R174" s="19" t="str">
        <x:v>Track BP measurement quality, risk category, protocol step, medication intensification and return date.</x:v>
      </x:c>
      <x:c r="S174" s="19" t="str">
        <x:v>high</x:v>
      </x:c>
      <x:c r="T174" s="19" t="str">
        <x:v>02_extracted_evidence/evidence_items.csv</x:v>
      </x:c>
      <x:c r="U174" s="19" t="str">
        <x:v>research_evidence_package_health_system_patient_flows_2026-05-30.tar.gz::02_extracted_evidence/evidence_items.csv::E043</x:v>
      </x:c>
    </x:row>
    <x:row r="175">
      <x:c r="A175" s="19" t="str">
        <x:v>A_flows</x:v>
      </x:c>
      <x:c r="B175" s="19" t="str">
        <x:v>research_evidence_package_health_system_patient_flows_2026-05-30.tar.gz</x:v>
      </x:c>
      <x:c r="C175" s="19" t="str">
        <x:v>Research A / health-system patient flows</x:v>
      </x:c>
      <x:c r="D175" s="19" t="str">
        <x:v>evidence_item</x:v>
      </x:c>
      <x:c r="E175" s="19" t="str">
        <x:v>E044</x:v>
      </x:c>
      <x:c r="F175" s="19" t="str">
        <x:v>S45</x:v>
      </x:c>
      <x:c r="G175" s="19" t="str">
        <x:v>Specific health checkup and specific health guidance</x:v>
      </x:c>
      <x:c r="H175" s="19" t="str">
        <x:v>https://www.shoken-kenpo.or.jp/eng/member/checkup/measure.html</x:v>
      </x:c>
      <x:c r="I175" s="19" t="str">
        <x:v>Japan</x:v>
      </x:c>
      <x:c r="J175" s="19" t="str">
        <x:v>public health screening</x:v>
      </x:c>
      <x:c r="K175" s="19" t="str">
        <x:v>before visit; public health screening; long-term monitoring</x:v>
      </x:c>
      <x:c r="L175" s="19" t="str">
        <x:v>metabolic syndrome / lifestyle disease risk</x:v>
      </x:c>
      <x:c r="M175" s="19" t="str">
        <x:v>no follow-up ownership; normal-test trap</x:v>
      </x:c>
      <x:c r="N175" s="19" t="str">
        <x:v>Preventive flow identifies risk before symptoms but depends on participation and sustained behaviour support.</x:v>
      </x:c>
      <x:c r="O175" s="19" t="str">
        <x:v>Specific health checkups screen insured people/dependents age 40+; results stratify into information provision, motivational support or proactive support.</x:v>
      </x:c>
      <x:c r="P175" s="19" t="str">
        <x:v>Identified: metabolic risk; missed: people outside eligibility/attendance or follow-up lifestyle support.</x:v>
      </x:c>
      <x:c r="Q175" s="19" t="str"/>
      <x:c r="R175" s="19" t="str">
        <x:v>Link screening results to risk stratum, guidance plan, 3-month review and primary-care referral if needed.</x:v>
      </x:c>
      <x:c r="S175" s="19" t="str">
        <x:v>medium</x:v>
      </x:c>
      <x:c r="T175" s="19" t="str">
        <x:v>02_extracted_evidence/evidence_items.csv</x:v>
      </x:c>
      <x:c r="U175" s="19" t="str">
        <x:v>research_evidence_package_health_system_patient_flows_2026-05-30.tar.gz::02_extracted_evidence/evidence_items.csv::E044</x:v>
      </x:c>
    </x:row>
    <x:row r="176">
      <x:c r="A176" s="19" t="str">
        <x:v>A_flows</x:v>
      </x:c>
      <x:c r="B176" s="19" t="str">
        <x:v>research_evidence_package_health_system_patient_flows_2026-05-30.tar.gz</x:v>
      </x:c>
      <x:c r="C176" s="19" t="str">
        <x:v>Research A / health-system patient flows</x:v>
      </x:c>
      <x:c r="D176" s="19" t="str">
        <x:v>evidence_item</x:v>
      </x:c>
      <x:c r="E176" s="19" t="str">
        <x:v>E045</x:v>
      </x:c>
      <x:c r="F176" s="19" t="str">
        <x:v>S46</x:v>
      </x:c>
      <x:c r="G176" s="19" t="str">
        <x:v>National Health Screening Program</x:v>
      </x:c>
      <x:c r="H176" s="19" t="str">
        <x:v>https://www.nhis.or.kr/english/wbhe/policies/NationalHealthScreeningProgram.html</x:v>
      </x:c>
      <x:c r="I176" s="19" t="str">
        <x:v>South Korea</x:v>
      </x:c>
      <x:c r="J176" s="19" t="str">
        <x:v>public health screening</x:v>
      </x:c>
      <x:c r="K176" s="19" t="str">
        <x:v>before visit; public health screening; lab interpretation; follow-up</x:v>
      </x:c>
      <x:c r="L176" s="19" t="str">
        <x:v>general health risks and cancers</x:v>
      </x:c>
      <x:c r="M176" s="19" t="str">
        <x:v>abnormal result not followed up; no follow-up ownership</x:v>
      </x:c>
      <x:c r="N176" s="19" t="str">
        <x:v>Screening result delivery by mail does not ensure comprehension or completion of confirmation testing.</x:v>
      </x:c>
      <x:c r="O176" s="19" t="str">
        <x:v>Patient checks eligibility, visits authorized hospital with ID/checkup card, receives results by mail; suspected disease may receive confirmation checkup.</x:v>
      </x:c>
      <x:c r="P176" s="19" t="str">
        <x:v>Identified: screen-positive or suspected disease; missed: non-attendance, inaccurate results if pre-test instructions not followed, confirmation follow-up gap.</x:v>
      </x:c>
      <x:c r="Q176" s="19" t="str"/>
      <x:c r="R176" s="19" t="str">
        <x:v>Use confirmation-test tracking and patient-language result explanations.</x:v>
      </x:c>
      <x:c r="S176" s="19" t="str">
        <x:v>medium</x:v>
      </x:c>
      <x:c r="T176" s="19" t="str">
        <x:v>02_extracted_evidence/evidence_items.csv</x:v>
      </x:c>
      <x:c r="U176" s="19" t="str">
        <x:v>research_evidence_package_health_system_patient_flows_2026-05-30.tar.gz::02_extracted_evidence/evidence_items.csv::E045</x:v>
      </x:c>
    </x:row>
    <x:row r="177">
      <x:c r="A177" s="19" t="str">
        <x:v>A_flows</x:v>
      </x:c>
      <x:c r="B177" s="19" t="str">
        <x:v>research_evidence_package_health_system_patient_flows_2026-05-30.tar.gz</x:v>
      </x:c>
      <x:c r="C177" s="19" t="str">
        <x:v>Research A / health-system patient flows</x:v>
      </x:c>
      <x:c r="D177" s="19" t="str">
        <x:v>evidence_item</x:v>
      </x:c>
      <x:c r="E177" s="19" t="str">
        <x:v>E046</x:v>
      </x:c>
      <x:c r="F177" s="19" t="str">
        <x:v>S47</x:v>
      </x:c>
      <x:c r="G177" s="19" t="str">
        <x:v>Danish Cancer Patient Pathways: three-legged strategy</x:v>
      </x:c>
      <x:c r="H177" s="19" t="str">
        <x:v>https://www.all-can.org/efficiency-hub/danish-cancer-patient-pathways-three-legged-strategy-for-faster-referral-and-diagnosis-of-cancer/</x:v>
      </x:c>
      <x:c r="I177" s="19" t="str">
        <x:v>Denmark</x:v>
      </x:c>
      <x:c r="J177" s="19" t="str">
        <x:v>primary care / specialist clinic</x:v>
      </x:c>
      <x:c r="K177" s="19" t="str">
        <x:v>medical history; labs ordered; referral; specialist review</x:v>
      </x:c>
      <x:c r="L177" s="19" t="str">
        <x:v>suspected cancer with alarm or nonspecific symptoms</x:v>
      </x:c>
      <x:c r="M177" s="19" t="str">
        <x:v>rare disease delay; referral delay; no one connected the dots</x:v>
      </x:c>
      <x:c r="N177" s="19" t="str">
        <x:v>Countries need a route for serious nonspecific symptoms, not only organ-specific red flags.</x:v>
      </x:c>
      <x:c r="O177" s="19" t="str">
        <x:v>Three-legged strategy: urgent alarm symptoms to organ-specific pathways; serious nonspecific symptoms to tests and diagnostic centres; vague low-risk symptoms managed by GP with diagnostic access.</x:v>
      </x:c>
      <x:c r="P177" s="19" t="str">
        <x:v>Identified: cancers without alarm symptoms; missed: vague symptoms if GP access to diagnostics is limited or safety-netting weak.</x:v>
      </x:c>
      <x:c r="Q177" s="19" t="str"/>
      <x:c r="R177" s="19" t="str">
        <x:v>Create nonspecific-symptom pathways with GP gut-feeling field, blood-panel bundle and diagnostic-centre referral.</x:v>
      </x:c>
      <x:c r="S177" s="19" t="str">
        <x:v>medium</x:v>
      </x:c>
      <x:c r="T177" s="19" t="str">
        <x:v>02_extracted_evidence/evidence_items.csv</x:v>
      </x:c>
      <x:c r="U177" s="19" t="str">
        <x:v>research_evidence_package_health_system_patient_flows_2026-05-30.tar.gz::02_extracted_evidence/evidence_items.csv::E046</x:v>
      </x:c>
    </x:row>
    <x:row r="178">
      <x:c r="A178" s="19" t="str">
        <x:v>A_flows</x:v>
      </x:c>
      <x:c r="B178" s="19" t="str">
        <x:v>research_evidence_package_health_system_patient_flows_2026-05-30.tar.gz</x:v>
      </x:c>
      <x:c r="C178" s="19" t="str">
        <x:v>Research A / health-system patient flows</x:v>
      </x:c>
      <x:c r="D178" s="19" t="str">
        <x:v>evidence_item</x:v>
      </x:c>
      <x:c r="E178" s="19" t="str">
        <x:v>E047</x:v>
      </x:c>
      <x:c r="F178" s="19" t="str">
        <x:v>S48</x:v>
      </x:c>
      <x:c r="G178" s="19" t="str">
        <x:v>Risk of cancer and serious disease in Danish patients with urgent referral for NSSC</x:v>
      </x:c>
      <x:c r="H178" s="19" t="str">
        <x:v>https://www.nature.com/articles/s41416-024-02620-y</x:v>
      </x:c>
      <x:c r="I178" s="19" t="str">
        <x:v>Denmark</x:v>
      </x:c>
      <x:c r="J178" s="19" t="str">
        <x:v>specialist clinic / diagnostic centre</x:v>
      </x:c>
      <x:c r="K178" s="19" t="str">
        <x:v>referral; specialist review; labs/imaging ordered</x:v>
      </x:c>
      <x:c r="L178" s="19" t="str">
        <x:v>non-specific symptoms and signs of cancer</x:v>
      </x:c>
      <x:c r="M178" s="19" t="str">
        <x:v>rare disease delay; referral delay; normal-test trap</x:v>
      </x:c>
      <x:c r="N178" s="19" t="str">
        <x:v>Nonspecific symptoms can represent high-yield diagnostic risk when systematically routed.</x:v>
      </x:c>
      <x:c r="O178" s="19" t="str">
        <x:v>Cohort study of urgent referral to Denmark's non-organ-specific cancer pathway; around one fifth had cancer.</x:v>
      </x:c>
      <x:c r="P178" s="19" t="str">
        <x:v>Identified: substantial cancer prevalence among non-specific symptom referrals; missed: patients with serious symptoms outside pathway criteria.</x:v>
      </x:c>
      <x:c r="Q178" s="19" t="str"/>
      <x:c r="R178" s="19" t="str">
        <x:v>Support structured referral for uncertainty, not just classic red flags.</x:v>
      </x:c>
      <x:c r="S178" s="19" t="str">
        <x:v>high</x:v>
      </x:c>
      <x:c r="T178" s="19" t="str">
        <x:v>02_extracted_evidence/evidence_items.csv</x:v>
      </x:c>
      <x:c r="U178" s="19" t="str">
        <x:v>research_evidence_package_health_system_patient_flows_2026-05-30.tar.gz::02_extracted_evidence/evidence_items.csv::E047</x:v>
      </x:c>
    </x:row>
    <x:row r="179">
      <x:c r="A179" s="19" t="str">
        <x:v>A_flows</x:v>
      </x:c>
      <x:c r="B179" s="19" t="str">
        <x:v>research_evidence_package_health_system_patient_flows_2026-05-30.tar.gz</x:v>
      </x:c>
      <x:c r="C179" s="19" t="str">
        <x:v>Research A / health-system patient flows</x:v>
      </x:c>
      <x:c r="D179" s="19" t="str">
        <x:v>evidence_item</x:v>
      </x:c>
      <x:c r="E179" s="19" t="str">
        <x:v>E048</x:v>
      </x:c>
      <x:c r="F179" s="19" t="str">
        <x:v>S49</x:v>
      </x:c>
      <x:c r="G179" s="19" t="str">
        <x:v>Healthcare Israel</x:v>
      </x:c>
      <x:c r="H179" s="19" t="str">
        <x:v>https://www1.health.gov.il/en/landing-pages/healthcare-israel/healthcare-israel/</x:v>
      </x:c>
      <x:c r="I179" s="19" t="str">
        <x:v>Israel</x:v>
      </x:c>
      <x:c r="J179" s="19" t="str">
        <x:v>primary care</x:v>
      </x:c>
      <x:c r="K179" s="19" t="str">
        <x:v>before visit; first clinician assessment; long-term monitoring</x:v>
      </x:c>
      <x:c r="L179" s="19" t="str">
        <x:v>broad primary-care and chronic disease</x:v>
      </x:c>
      <x:c r="M179" s="19" t="str">
        <x:v>lab trend missed; no one connected the dots</x:v>
      </x:c>
      <x:c r="N179" s="19" t="str">
        <x:v>Digitized history reduces fragmentation but still requires pattern recognition and alert design.</x:v>
      </x:c>
      <x:c r="O179" s="19" t="str">
        <x:v>Israel's HMO-based system begins with family doctor/community health centers and uses longstanding digital records/HIE to give clinicians historical data at point of care.</x:v>
      </x:c>
      <x:c r="P179" s="19" t="str">
        <x:v>Identified: strong longitudinal data infrastructure; missed: data availability does not guarantee synthesis of trends or patient narrative.</x:v>
      </x:c>
      <x:c r="Q179" s="19" t="str"/>
      <x:c r="R179" s="19" t="str">
        <x:v>Use longitudinal problem timelines and trend alerts, not just data access.</x:v>
      </x:c>
      <x:c r="S179" s="19" t="str">
        <x:v>medium</x:v>
      </x:c>
      <x:c r="T179" s="19" t="str">
        <x:v>02_extracted_evidence/evidence_items.csv</x:v>
      </x:c>
      <x:c r="U179" s="19" t="str">
        <x:v>research_evidence_package_health_system_patient_flows_2026-05-30.tar.gz::02_extracted_evidence/evidence_items.csv::E048</x:v>
      </x:c>
    </x:row>
    <x:row r="180">
      <x:c r="A180" s="19" t="str">
        <x:v>A_flows</x:v>
      </x:c>
      <x:c r="B180" s="19" t="str">
        <x:v>research_evidence_package_health_system_patient_flows_2026-05-30.tar.gz</x:v>
      </x:c>
      <x:c r="C180" s="19" t="str">
        <x:v>Research A / health-system patient flows</x:v>
      </x:c>
      <x:c r="D180" s="19" t="str">
        <x:v>evidence_item</x:v>
      </x:c>
      <x:c r="E180" s="19" t="str">
        <x:v>E049</x:v>
      </x:c>
      <x:c r="F180" s="19" t="str">
        <x:v>S50</x:v>
      </x:c>
      <x:c r="G180" s="19" t="str">
        <x:v>Maccabi Healthcare Services: Diagnostic Services</x:v>
      </x:c>
      <x:c r="H180" s="19" t="str">
        <x:v>https://www.maccabi4u.co.il/en/46562/main_english/our-healthcare-system/diagnostic-services/</x:v>
      </x:c>
      <x:c r="I180" s="19" t="str">
        <x:v>Israel</x:v>
      </x:c>
      <x:c r="J180" s="19" t="str">
        <x:v>hospital outpatient / diagnostic services</x:v>
      </x:c>
      <x:c r="K180" s="19" t="str">
        <x:v>labs ordered; imaging ordered; lab interpretation; follow-up</x:v>
      </x:c>
      <x:c r="L180" s="19" t="str">
        <x:v>conditions requiring lab/imaging/cardiac diagnostics</x:v>
      </x:c>
      <x:c r="M180" s="19" t="str">
        <x:v>abnormal result not followed up; no follow-up ownership</x:v>
      </x:c>
      <x:c r="N180" s="19" t="str">
        <x:v>Result delivery is not the same as result action.</x:v>
      </x:c>
      <x:c r="O180" s="19" t="str">
        <x:v>Diagnostic services are computerized from referral through collection/test and result delivery to physician and user stations; teleradiology centralizes interpretation for distant sites.</x:v>
      </x:c>
      <x:c r="P180" s="19" t="str">
        <x:v>Identified: lab/imaging workflow and result dissemination; missed: action on result still depends on clinician/patient follow-up loop.</x:v>
      </x:c>
      <x:c r="Q180" s="19" t="str"/>
      <x:c r="R180" s="19" t="str">
        <x:v>Link diagnostic-result delivery to acknowledgment and documented clinical next step.</x:v>
      </x:c>
      <x:c r="S180" s="19" t="str">
        <x:v>medium</x:v>
      </x:c>
      <x:c r="T180" s="19" t="str">
        <x:v>02_extracted_evidence/evidence_items.csv</x:v>
      </x:c>
      <x:c r="U180" s="19" t="str">
        <x:v>research_evidence_package_health_system_patient_flows_2026-05-30.tar.gz::02_extracted_evidence/evidence_items.csv::E049</x:v>
      </x:c>
    </x:row>
    <x:row r="181">
      <x:c r="A181" s="19" t="str">
        <x:v>A_flows</x:v>
      </x:c>
      <x:c r="B181" s="19" t="str">
        <x:v>research_evidence_package_health_system_patient_flows_2026-05-30.tar.gz</x:v>
      </x:c>
      <x:c r="C181" s="19" t="str">
        <x:v>Research A / health-system patient flows</x:v>
      </x:c>
      <x:c r="D181" s="19" t="str">
        <x:v>evidence_item</x:v>
      </x:c>
      <x:c r="E181" s="19" t="str">
        <x:v>E050</x:v>
      </x:c>
      <x:c r="F181" s="19" t="str">
        <x:v>S52</x:v>
      </x:c>
      <x:c r="G181" s="19" t="str">
        <x:v>Data analysis reveals common errors that prevent patients from getting timely, accurate diagnoses</x:v>
      </x:c>
      <x:c r="H181" s="19" t="str">
        <x:v>https://home.ecri.org/blogs/ecri-news/data-analysis-reveals-common-errors-that-prevent-patients-from-getting-timely-accurate-diagnoses</x:v>
      </x:c>
      <x:c r="I181" s="19" t="str">
        <x:v>US</x:v>
      </x:c>
      <x:c r="J181" s="19" t="str">
        <x:v>cross-setting</x:v>
      </x:c>
      <x:c r="K181" s="19" t="str">
        <x:v>labs ordered; imaging ordered; referral; follow-up</x:v>
      </x:c>
      <x:c r="L181" s="19" t="str">
        <x:v>varied diagnostic errors</x:v>
      </x:c>
      <x:c r="M181" s="19" t="str">
        <x:v>documentation error; poor handoff; abnormal result not followed up</x:v>
      </x:c>
      <x:c r="N181" s="19" t="str">
        <x:v>Diagnostic failure is often an operations/communication problem, not just cognitive error.</x:v>
      </x:c>
      <x:c r="O181" s="19" t="str">
        <x:v>Analysis of &gt;3,000 diagnostic safety events found many errors in the testing process plus monitoring/follow-up and referral/consultation phases.</x:v>
      </x:c>
      <x:c r="P181" s="19" t="str">
        <x:v>Missed/delayed: diagnoses due to technical, administrative and communication failures.</x:v>
      </x:c>
      <x:c r="Q181" s="19" t="str"/>
      <x:c r="R181" s="19" t="str">
        <x:v>Instrument handoffs: order-to-result, result-to-action, referral-to-appointment and missed-appointment loops.</x:v>
      </x:c>
      <x:c r="S181" s="19" t="str">
        <x:v>medium</x:v>
      </x:c>
      <x:c r="T181" s="19" t="str">
        <x:v>02_extracted_evidence/evidence_items.csv</x:v>
      </x:c>
      <x:c r="U181" s="19" t="str">
        <x:v>research_evidence_package_health_system_patient_flows_2026-05-30.tar.gz::02_extracted_evidence/evidence_items.csv::E050</x:v>
      </x:c>
    </x:row>
    <x:row r="182">
      <x:c r="A182" s="19" t="str">
        <x:v>A_flows</x:v>
      </x:c>
      <x:c r="B182" s="19" t="str">
        <x:v>research_evidence_package_health_system_patient_flows_2026-05-30.tar.gz</x:v>
      </x:c>
      <x:c r="C182" s="19" t="str">
        <x:v>Research A / health-system patient flows</x:v>
      </x:c>
      <x:c r="D182" s="19" t="str">
        <x:v>evidence_item</x:v>
      </x:c>
      <x:c r="E182" s="19" t="str">
        <x:v>E051</x:v>
      </x:c>
      <x:c r="F182" s="19" t="str">
        <x:v>S53</x:v>
      </x:c>
      <x:c r="G182" s="19" t="str">
        <x:v>Undiagnosed: When Your Rare Diagnosis Comes 30 Years Late</x:v>
      </x:c>
      <x:c r="H182" s="19" t="str">
        <x:v>https://rarediseases.org/undiagnosed-when-your-rare-diagnosis-comes-30-years-late/</x:v>
      </x:c>
      <x:c r="I182" s="19" t="str">
        <x:v>US</x:v>
      </x:c>
      <x:c r="J182" s="19" t="str">
        <x:v>specialist clinic / rare disease</x:v>
      </x:c>
      <x:c r="K182" s="19" t="str">
        <x:v>repeat visit; specialist review; imaging/genetic/special testing</x:v>
      </x:c>
      <x:c r="L182" s="19" t="str">
        <x:v>rare congenital/neurologic condition</x:v>
      </x:c>
      <x:c r="M182" s="19" t="str">
        <x:v>rare disease delay; patient self-advocacy required; no one connected the dots</x:v>
      </x:c>
      <x:c r="N182" s="19" t="str">
        <x:v>Rare disease patients often carry the pattern across disconnected visits themselves.</x:v>
      </x:c>
      <x:c r="O182" s="19" t="str">
        <x:v>Patient story describes self-advocacy leading to specialist programme review and eventual rare diagnosis after decades.</x:v>
      </x:c>
      <x:c r="P182" s="19" t="str">
        <x:v>Missed/delayed: rare diagnosis across many earlier encounters.</x:v>
      </x:c>
      <x:c r="Q182" s="19" t="str"/>
      <x:c r="R182" s="19" t="str">
        <x:v>Give patients a longitudinal symptom/problem timeline they can share across systems.</x:v>
      </x:c>
      <x:c r="S182" s="19" t="str">
        <x:v>low</x:v>
      </x:c>
      <x:c r="T182" s="19" t="str">
        <x:v>02_extracted_evidence/evidence_items.csv</x:v>
      </x:c>
      <x:c r="U182" s="19" t="str">
        <x:v>research_evidence_package_health_system_patient_flows_2026-05-30.tar.gz::02_extracted_evidence/evidence_items.csv::E051</x:v>
      </x:c>
    </x:row>
    <x:row r="183">
      <x:c r="A183" s="19" t="str">
        <x:v>A_flows</x:v>
      </x:c>
      <x:c r="B183" s="19" t="str">
        <x:v>research_evidence_package_health_system_patient_flows_2026-05-30.tar.gz</x:v>
      </x:c>
      <x:c r="C183" s="19" t="str">
        <x:v>Research A / health-system patient flows</x:v>
      </x:c>
      <x:c r="D183" s="19" t="str">
        <x:v>evidence_item</x:v>
      </x:c>
      <x:c r="E183" s="19" t="str">
        <x:v>E052</x:v>
      </x:c>
      <x:c r="F183" s="19" t="str">
        <x:v>S54</x:v>
      </x:c>
      <x:c r="G183" s="19" t="str">
        <x:v>Living with CKD: diagnosis experiences</x:v>
      </x:c>
      <x:c r="H183" s="19" t="str">
        <x:v>https://kidneycareuk.org/kidney-disease-information/your-stories/ckd-diagnosis-experiences/</x:v>
      </x:c>
      <x:c r="I183" s="19" t="str">
        <x:v>UK</x:v>
      </x:c>
      <x:c r="J183" s="19" t="str">
        <x:v>primary care / chronic disease</x:v>
      </x:c>
      <x:c r="K183" s="19" t="str">
        <x:v>medical history; lab interpretation; diagnosis discussion</x:v>
      </x:c>
      <x:c r="L183" s="19" t="str">
        <x:v>chronic kidney disease</x:v>
      </x:c>
      <x:c r="M183" s="19" t="str">
        <x:v>chronic illness invalidation; lab trend missed; documentation error</x:v>
      </x:c>
      <x:c r="N183" s="19" t="str">
        <x:v>Chronic illness identification can fail even when data exists if communication/records are not visible.</x:v>
      </x:c>
      <x:c r="O183" s="19" t="str">
        <x:v>Advocacy patient stories describe how CKD diagnosis experiences can involve communication problems, dismissed symptoms and records not seen.</x:v>
      </x:c>
      <x:c r="P183" s="19" t="str">
        <x:v>Missed/delayed: chronic disease recognition or patient understanding.</x:v>
      </x:c>
      <x:c r="Q183" s="19" t="str"/>
      <x:c r="R183" s="19" t="str">
        <x:v>Pair lab trend alerts with patient-facing explanations and record visibility checks.</x:v>
      </x:c>
      <x:c r="S183" s="19" t="str">
        <x:v>low</x:v>
      </x:c>
      <x:c r="T183" s="19" t="str">
        <x:v>02_extracted_evidence/evidence_items.csv</x:v>
      </x:c>
      <x:c r="U183" s="19" t="str">
        <x:v>research_evidence_package_health_system_patient_flows_2026-05-30.tar.gz::02_extracted_evidence/evidence_items.csv::E052</x:v>
      </x:c>
    </x:row>
    <x:row r="184">
      <x:c r="A184" s="19" t="str">
        <x:v>A_flows</x:v>
      </x:c>
      <x:c r="B184" s="19" t="str">
        <x:v>research_evidence_package_health_system_patient_flows_2026-05-30.tar.gz</x:v>
      </x:c>
      <x:c r="C184" s="19" t="str">
        <x:v>Research A / health-system patient flows</x:v>
      </x:c>
      <x:c r="D184" s="19" t="str">
        <x:v>evidence_item</x:v>
      </x:c>
      <x:c r="E184" s="19" t="str">
        <x:v>E053</x:v>
      </x:c>
      <x:c r="F184" s="19" t="str">
        <x:v>S56</x:v>
      </x:c>
      <x:c r="G184" s="19" t="str">
        <x:v>Types and Origins of Diagnostic Errors in Primary Care Settings</x:v>
      </x:c>
      <x:c r="H184" s="19" t="str">
        <x:v>https://jamanetwork.com/journals/jamainternalmedicine/fullarticle/1656540</x:v>
      </x:c>
      <x:c r="I184" s="19" t="str">
        <x:v>US</x:v>
      </x:c>
      <x:c r="J184" s="19" t="str">
        <x:v>primary care</x:v>
      </x:c>
      <x:c r="K184" s="19" t="str">
        <x:v>first clinician assessment; medical history; physical exam; labs ordered</x:v>
      </x:c>
      <x:c r="L184" s="19" t="str">
        <x:v>varied common diseases with potential harm</x:v>
      </x:c>
      <x:c r="M184" s="19" t="str">
        <x:v>incomplete history; physical exam missed; repeated visits ignored</x:v>
      </x:c>
      <x:c r="N184" s="19" t="str">
        <x:v>The highest-yield diagnostic signals may appear only after a return visit or hospitalization.</x:v>
      </x:c>
      <x:c r="O184" s="19" t="str">
        <x:v>Study identified primary-care diagnostic errors using EHR triggers such as unplanned hospitalization/return visits/ED visits after index primary-care encounter.</x:v>
      </x:c>
      <x:c r="P184" s="19" t="str">
        <x:v>Missed/delayed: common diseases; process breakdowns in patient-practitioner encounter, history, exam and workup ordering.</x:v>
      </x:c>
      <x:c r="Q184" s="19" t="str"/>
      <x:c r="R184" s="19" t="str">
        <x:v>Use trigger tools to surface unplanned returns after recent visits and prompt diagnostic review.</x:v>
      </x:c>
      <x:c r="S184" s="19" t="str">
        <x:v>high</x:v>
      </x:c>
      <x:c r="T184" s="19" t="str">
        <x:v>02_extracted_evidence/evidence_items.csv</x:v>
      </x:c>
      <x:c r="U184" s="19" t="str">
        <x:v>research_evidence_package_health_system_patient_flows_2026-05-30.tar.gz::02_extracted_evidence/evidence_items.csv::E053</x:v>
      </x:c>
    </x:row>
    <x:row r="185">
      <x:c r="A185" s="19" t="str">
        <x:v>A_flows</x:v>
      </x:c>
      <x:c r="B185" s="19" t="str">
        <x:v>research_evidence_package_health_system_patient_flows_2026-05-30.tar.gz</x:v>
      </x:c>
      <x:c r="C185" s="19" t="str">
        <x:v>Research A / health-system patient flows</x:v>
      </x:c>
      <x:c r="D185" s="19" t="str">
        <x:v>case</x:v>
      </x:c>
      <x:c r="E185" s="19" t="str">
        <x:v>C001</x:v>
      </x:c>
      <x:c r="F185" s="19" t="str">
        <x:v>S01</x:v>
      </x:c>
      <x:c r="G185" s="19" t="str">
        <x:v>Emergency Severity Index (ESI): A Triage Tool for Emergency Department Care, Version 4</x:v>
      </x:c>
      <x:c r="H185" s="19" t="str">
        <x:v>https://media.emscimprovement.center/documents/Emergency_Severity_Index_Handbook.pdf</x:v>
      </x:c>
      <x:c r="I185" s="19" t="str">
        <x:v>US / internationally used</x:v>
      </x:c>
      <x:c r="J185" s="19" t="str">
        <x:v>emergency department</x:v>
      </x:c>
      <x:c r="K185" s="19" t="str">
        <x:v>red flag missed; normal-test trap; incomplete history</x:v>
      </x:c>
      <x:c r="L185" s="19" t="str">
        <x:v>undifferentiated acute illness/injury</x:v>
      </x:c>
      <x:c r="M185" s="19" t="str">
        <x:v>red flag missed; normal-test trap; incomplete history</x:v>
      </x:c>
      <x:c r="N185" s="19" t="str">
        <x:v>Emergency Severity Index (ESI): A Triage Tool for Emergency Department Care, Version 4</x:v>
      </x:c>
      <x:c r="O185" s="19" t="str">
        <x:v>Classify acuity using ESI: immediate life-saving intervention, high risk/severe pain, then expected resources, with danger-zone vitals review.</x:v>
      </x:c>
      <x:c r="P185" s="19" t="str">
        <x:v>Identified: patients needing immediate lifesaving intervention and high-risk care; risk: triage depends on nurse pattern recognition and local resource assumptions.</x:v>
      </x:c>
      <x:c r="Q185" s="19" t="str">
        <x:v>none</x:v>
      </x:c>
      <x:c r="R185" s="19" t="str">
        <x:v>Separate emergency risk score from diagnostic uncertainty; capture clinician concern and prior visits even when ESI level is lower.</x:v>
      </x:c>
      <x:c r="S185" s="19" t="str">
        <x:v>high</x:v>
      </x:c>
      <x:c r="T185" s="19" t="str">
        <x:v>02_extracted_evidence/cases_or_examples.csv</x:v>
      </x:c>
      <x:c r="U185" s="19" t="str">
        <x:v>research_evidence_package_health_system_patient_flows_2026-05-30.tar.gz::02_extracted_evidence/cases_or_examples.csv::C001</x:v>
      </x:c>
    </x:row>
    <x:row r="186">
      <x:c r="A186" s="19" t="str">
        <x:v>A_flows</x:v>
      </x:c>
      <x:c r="B186" s="19" t="str">
        <x:v>research_evidence_package_health_system_patient_flows_2026-05-30.tar.gz</x:v>
      </x:c>
      <x:c r="C186" s="19" t="str">
        <x:v>Research A / health-system patient flows</x:v>
      </x:c>
      <x:c r="D186" s="19" t="str">
        <x:v>case</x:v>
      </x:c>
      <x:c r="E186" s="19" t="str">
        <x:v>C002</x:v>
      </x:c>
      <x:c r="F186" s="19" t="str">
        <x:v>S02</x:v>
      </x:c>
      <x:c r="G186" s="19" t="str">
        <x:v>Diagnostic Errors in the Emergency Department: A Systematic Review</x:v>
      </x:c>
      <x:c r="H186" s="19" t="str">
        <x:v>https://www.ncbi.nlm.nih.gov/books/NBK588197/</x:v>
      </x:c>
      <x:c r="I186" s="19" t="str">
        <x:v>US-focused evidence</x:v>
      </x:c>
      <x:c r="J186" s="19" t="str">
        <x:v>emergency department</x:v>
      </x:c>
      <x:c r="K186" s="19" t="str">
        <x:v>red flag missed; repeated visits ignored; no follow-up ownership</x:v>
      </x:c>
      <x:c r="L186" s="19" t="str">
        <x:v>stroke, MI, aortic dissection, VTE, meningitis/encephalitis, sepsis, spinal cord injury/compression, lung cancer</x:v>
      </x:c>
      <x:c r="M186" s="19" t="str">
        <x:v>red flag missed; repeated visits ignored; no follow-up ownership</x:v>
      </x:c>
      <x:c r="N186" s="19" t="str">
        <x:v>Diagnostic Errors in the Emergency Department: A Systematic Review</x:v>
      </x:c>
      <x:c r="O186" s="19" t="str">
        <x:v>Systematic review estimated diagnostic error harms and common high-harm conditions.</x:v>
      </x:c>
      <x:c r="P186" s="19" t="str">
        <x:v>Missed/delayed: serious ED diagnoses, especially vascular, neurologic, infection and cancer presentations.</x:v>
      </x:c>
      <x:c r="Q186" s="19" t="str">
        <x:v>varies</x:v>
      </x:c>
      <x:c r="R186" s="19" t="str">
        <x:v>Flag high-harm conditions linked to symptom clusters and require explicit exclusion/safety-netting before discharge.</x:v>
      </x:c>
      <x:c r="S186" s="19" t="str">
        <x:v>high</x:v>
      </x:c>
      <x:c r="T186" s="19" t="str">
        <x:v>02_extracted_evidence/cases_or_examples.csv</x:v>
      </x:c>
      <x:c r="U186" s="19" t="str">
        <x:v>research_evidence_package_health_system_patient_flows_2026-05-30.tar.gz::02_extracted_evidence/cases_or_examples.csv::C002</x:v>
      </x:c>
    </x:row>
    <x:row r="187">
      <x:c r="A187" s="19" t="str">
        <x:v>A_flows</x:v>
      </x:c>
      <x:c r="B187" s="19" t="str">
        <x:v>research_evidence_package_health_system_patient_flows_2026-05-30.tar.gz</x:v>
      </x:c>
      <x:c r="C187" s="19" t="str">
        <x:v>Research A / health-system patient flows</x:v>
      </x:c>
      <x:c r="D187" s="19" t="str">
        <x:v>case</x:v>
      </x:c>
      <x:c r="E187" s="19" t="str">
        <x:v>C003</x:v>
      </x:c>
      <x:c r="F187" s="19" t="str">
        <x:v>S03</x:v>
      </x:c>
      <x:c r="G187" s="19" t="str">
        <x:v>Guidance for emergency departments: initial assessment</x:v>
      </x:c>
      <x:c r="H187" s="19" t="str">
        <x:v>https://www.england.nhs.uk/guidance-for-emergency-departments-initial-assessment/</x:v>
      </x:c>
      <x:c r="I187" s="19" t="str">
        <x:v>England</x:v>
      </x:c>
      <x:c r="J187" s="19" t="str">
        <x:v>emergency department</x:v>
      </x:c>
      <x:c r="K187" s="19" t="str">
        <x:v>poor handoff; red flag missed; no follow-up ownership</x:v>
      </x:c>
      <x:c r="L187" s="19" t="str">
        <x:v>undifferentiated emergency/urgent presentations</x:v>
      </x:c>
      <x:c r="M187" s="19" t="str">
        <x:v>poor handoff; red flag missed; no follow-up ownership</x:v>
      </x:c>
      <x:c r="N187" s="19" t="str">
        <x:v>Guidance for emergency departments: initial assessment</x:v>
      </x:c>
      <x:c r="O187" s="19" t="str">
        <x:v>Initial assessment can include streaming, triage and rapid assessment/treatment to identify sickest patients and direct others to right service.</x:v>
      </x:c>
      <x:c r="P187" s="19" t="str">
        <x:v>Identified: sickest patients and appropriate service route; risk: redirection decisions can become unsafe if not clinically governed.</x:v>
      </x:c>
      <x:c r="Q187" s="19" t="str">
        <x:v>front-door targets in related guidance</x:v>
      </x:c>
      <x:c r="R187" s="19" t="str">
        <x:v>Track real elapsed time from physical arrival to clinical assessment, not just time after registration.</x:v>
      </x:c>
      <x:c r="S187" s="19" t="str">
        <x:v>high</x:v>
      </x:c>
      <x:c r="T187" s="19" t="str">
        <x:v>02_extracted_evidence/cases_or_examples.csv</x:v>
      </x:c>
      <x:c r="U187" s="19" t="str">
        <x:v>research_evidence_package_health_system_patient_flows_2026-05-30.tar.gz::02_extracted_evidence/cases_or_examples.csv::C003</x:v>
      </x:c>
    </x:row>
    <x:row r="188">
      <x:c r="A188" s="19" t="str">
        <x:v>A_flows</x:v>
      </x:c>
      <x:c r="B188" s="19" t="str">
        <x:v>research_evidence_package_health_system_patient_flows_2026-05-30.tar.gz</x:v>
      </x:c>
      <x:c r="C188" s="19" t="str">
        <x:v>Research A / health-system patient flows</x:v>
      </x:c>
      <x:c r="D188" s="19" t="str">
        <x:v>case</x:v>
      </x:c>
      <x:c r="E188" s="19" t="str">
        <x:v>C004</x:v>
      </x:c>
      <x:c r="F188" s="19" t="str">
        <x:v>S04</x:v>
      </x:c>
      <x:c r="G188" s="19" t="str">
        <x:v>Initial Assessment of Emergency Department Patients</x:v>
      </x:c>
      <x:c r="H188" s="19" t="str">
        <x:v>https://rcem.ac.uk/wp-content/uploads/2025/04/Initial-Assessment.pdf</x:v>
      </x:c>
      <x:c r="I188" s="19" t="str">
        <x:v>UK</x:v>
      </x:c>
      <x:c r="J188" s="19" t="str">
        <x:v>emergency department</x:v>
      </x:c>
      <x:c r="K188" s="19" t="str">
        <x:v>arrival; registration; red flag missed; poor handoff</x:v>
      </x:c>
      <x:c r="L188" s="19" t="str">
        <x:v>undifferentiated ED attendance</x:v>
      </x:c>
      <x:c r="M188" s="19" t="str">
        <x:v>arrival; registration; red flag missed; poor handoff</x:v>
      </x:c>
      <x:c r="N188" s="19" t="str">
        <x:v>Initial Assessment of Emergency Department Patients</x:v>
      </x:c>
      <x:c r="O188" s="19" t="str">
        <x:v>Register quickly, perform initial assessment by trained registered clinician, record minimum clinical fields and use early warning scores where relevant.</x:v>
      </x:c>
      <x:c r="P188" s="19" t="str">
        <x:v>Identified: front-door risk; missed risk if queues are unmanaged before registration/assessment.</x:v>
      </x:c>
      <x:c r="Q188" s="19" t="str">
        <x:v>within minutes in standard</x:v>
      </x:c>
      <x:c r="R188" s="19" t="str">
        <x:v>Use queue surveillance and arrival-time capture; include deterioration prompts before formal triage is complete.</x:v>
      </x:c>
      <x:c r="S188" s="19" t="str">
        <x:v>high</x:v>
      </x:c>
      <x:c r="T188" s="19" t="str">
        <x:v>02_extracted_evidence/cases_or_examples.csv</x:v>
      </x:c>
      <x:c r="U188" s="19" t="str">
        <x:v>research_evidence_package_health_system_patient_flows_2026-05-30.tar.gz::02_extracted_evidence/cases_or_examples.csv::C004</x:v>
      </x:c>
    </x:row>
    <x:row r="189">
      <x:c r="A189" s="19" t="str">
        <x:v>A_flows</x:v>
      </x:c>
      <x:c r="B189" s="19" t="str">
        <x:v>research_evidence_package_health_system_patient_flows_2026-05-30.tar.gz</x:v>
      </x:c>
      <x:c r="C189" s="19" t="str">
        <x:v>Research A / health-system patient flows</x:v>
      </x:c>
      <x:c r="D189" s="19" t="str">
        <x:v>case</x:v>
      </x:c>
      <x:c r="E189" s="19" t="str">
        <x:v>C005</x:v>
      </x:c>
      <x:c r="F189" s="19" t="str">
        <x:v>S05</x:v>
      </x:c>
      <x:c r="G189" s="19" t="str">
        <x:v>Emergency Department Workflow Diagrams</x:v>
      </x:c>
      <x:c r="H189" s="19" t="str">
        <x:v>https://www.ahrq.gov/sites/default/files/wysiwyg/professionals/quality-patient-safety/quality-resources/tools/cap-toolkit/ed-workflowdiagrams.pdf</x:v>
      </x:c>
      <x:c r="I189" s="19" t="str">
        <x:v>US</x:v>
      </x:c>
      <x:c r="J189" s="19" t="str">
        <x:v>emergency department</x:v>
      </x:c>
      <x:c r="K189" s="19" t="str">
        <x:v>documentation error; no one connected the dots; normal-test trap</x:v>
      </x:c>
      <x:c r="L189" s="19" t="str">
        <x:v>suspected community-acquired pneumonia</x:v>
      </x:c>
      <x:c r="M189" s="19" t="str">
        <x:v>documentation error; no one connected the dots; normal-test trap</x:v>
      </x:c>
      <x:c r="N189" s="19" t="str">
        <x:v>Emergency Department Workflow Diagrams</x:v>
      </x:c>
      <x:c r="O189" s="19" t="str">
        <x:v>Patient arrives by EMS/walk-in; triage/intake RN collects key data; provider orders labs/CXR; CURB-65 and clinical assessment guide admission vs outpatient antibiotics.</x:v>
      </x:c>
      <x:c r="P189" s="19" t="str">
        <x:v>Identified: pneumonia severity and disposition; risk: pneumonia mimic or alternative diagnosis may be missed if CDS anchors on CAP.</x:v>
      </x:c>
      <x:c r="Q189" s="19" t="str">
        <x:v>none</x:v>
      </x:c>
      <x:c r="R189" s="19" t="str">
        <x:v>Expose missing CURB-65 elements and create 'pursue other diagnoses' tracking, not just CAP disposition.</x:v>
      </x:c>
      <x:c r="S189" s="19" t="str">
        <x:v>medium</x:v>
      </x:c>
      <x:c r="T189" s="19" t="str">
        <x:v>02_extracted_evidence/cases_or_examples.csv</x:v>
      </x:c>
      <x:c r="U189" s="19" t="str">
        <x:v>research_evidence_package_health_system_patient_flows_2026-05-30.tar.gz::02_extracted_evidence/cases_or_examples.csv::C005</x:v>
      </x:c>
    </x:row>
    <x:row r="190">
      <x:c r="A190" s="19" t="str">
        <x:v>A_flows</x:v>
      </x:c>
      <x:c r="B190" s="19" t="str">
        <x:v>research_evidence_package_health_system_patient_flows_2026-05-30.tar.gz</x:v>
      </x:c>
      <x:c r="C190" s="19" t="str">
        <x:v>Research A / health-system patient flows</x:v>
      </x:c>
      <x:c r="D190" s="19" t="str">
        <x:v>case</x:v>
      </x:c>
      <x:c r="E190" s="19" t="str">
        <x:v>C006</x:v>
      </x:c>
      <x:c r="F190" s="19" t="str">
        <x:v>S06</x:v>
      </x:c>
      <x:c r="G190" s="19" t="str">
        <x:v>Urgent care self-service</x:v>
      </x:c>
      <x:c r="H190" s="19" t="str">
        <x:v>https://digital.nhs.uk/services/urgent-care-self-service-product</x:v>
      </x:c>
      <x:c r="I190" s="19" t="str">
        <x:v>England</x:v>
      </x:c>
      <x:c r="J190" s="19" t="str">
        <x:v>urgent care / ED front door</x:v>
      </x:c>
      <x:c r="K190" s="19" t="str">
        <x:v>digital access gap; incomplete history; red flag missed</x:v>
      </x:c>
      <x:c r="L190" s="19" t="str">
        <x:v>urgent non-life-threatening presentations</x:v>
      </x:c>
      <x:c r="M190" s="19" t="str">
        <x:v>digital access gap; incomplete history; red flag missed</x:v>
      </x:c>
      <x:c r="N190" s="19" t="str">
        <x:v>Urgent care self-service</x:v>
      </x:c>
      <x:c r="O190" s="19" t="str">
        <x:v>Patient self-checks in on kiosk/tablet, completes symptom triage, and can be prioritised, redirected or referred through service routing.</x:v>
      </x:c>
      <x:c r="P190" s="19" t="str">
        <x:v>Identified: rapid symptom-led prioritisation and redirection; risk: digital access, literacy and symptom-description gaps.</x:v>
      </x:c>
      <x:c r="Q190" s="19" t="str">
        <x:v>none</x:v>
      </x:c>
      <x:c r="R190" s="19" t="str">
        <x:v>Add accessibility fallback, clinician override, real-time deterioration alerts and visibility of prior visits.</x:v>
      </x:c>
      <x:c r="S190" s="19" t="str">
        <x:v>medium</x:v>
      </x:c>
      <x:c r="T190" s="19" t="str">
        <x:v>02_extracted_evidence/cases_or_examples.csv</x:v>
      </x:c>
      <x:c r="U190" s="19" t="str">
        <x:v>research_evidence_package_health_system_patient_flows_2026-05-30.tar.gz::02_extracted_evidence/cases_or_examples.csv::C006</x:v>
      </x:c>
    </x:row>
    <x:row r="191">
      <x:c r="A191" s="19" t="str">
        <x:v>A_flows</x:v>
      </x:c>
      <x:c r="B191" s="19" t="str">
        <x:v>research_evidence_package_health_system_patient_flows_2026-05-30.tar.gz</x:v>
      </x:c>
      <x:c r="C191" s="19" t="str">
        <x:v>Research A / health-system patient flows</x:v>
      </x:c>
      <x:c r="D191" s="19" t="str">
        <x:v>case</x:v>
      </x:c>
      <x:c r="E191" s="19" t="str">
        <x:v>C007</x:v>
      </x:c>
      <x:c r="F191" s="19" t="str">
        <x:v>S07</x:v>
      </x:c>
      <x:c r="G191" s="19" t="str">
        <x:v>Urgent treatment centres: principles and standards</x:v>
      </x:c>
      <x:c r="H191" s="19" t="str">
        <x:v>https://www.england.nhs.uk/publication/urgent-treatment-centres-principles-and-standards/</x:v>
      </x:c>
      <x:c r="I191" s="19" t="str">
        <x:v>England</x:v>
      </x:c>
      <x:c r="J191" s="19" t="str">
        <x:v>urgent care</x:v>
      </x:c>
      <x:c r="K191" s="19" t="str">
        <x:v>wrong specialty; poor handoff; no follow-up ownership</x:v>
      </x:c>
      <x:c r="L191" s="19" t="str">
        <x:v>minor injuries/ailments and urgent non-life-threatening problems</x:v>
      </x:c>
      <x:c r="M191" s="19" t="str">
        <x:v>wrong specialty; poor handoff; no follow-up ownership</x:v>
      </x:c>
      <x:c r="N191" s="19" t="str">
        <x:v>Urgent treatment centres: principles and standards</x:v>
      </x:c>
      <x:c r="O191" s="19" t="str">
        <x:v>UTCs accept booked and walk-in patients; provide basic diagnostics or protocols; share records/post-event messages and refer to ED/specialists when needed.</x:v>
      </x:c>
      <x:c r="P191" s="19" t="str">
        <x:v>Identified: conditions manageable outside ED; risk: lack of diagnostic capability or wrong redirection.</x:v>
      </x:c>
      <x:c r="Q191" s="19" t="str">
        <x:v>none</x:v>
      </x:c>
      <x:c r="R191" s="19" t="str">
        <x:v>Show available diagnostics, escalation criteria and post-visit ownership in the same workflow.</x:v>
      </x:c>
      <x:c r="S191" s="19" t="str">
        <x:v>high</x:v>
      </x:c>
      <x:c r="T191" s="19" t="str">
        <x:v>02_extracted_evidence/cases_or_examples.csv</x:v>
      </x:c>
      <x:c r="U191" s="19" t="str">
        <x:v>research_evidence_package_health_system_patient_flows_2026-05-30.tar.gz::02_extracted_evidence/cases_or_examples.csv::C007</x:v>
      </x:c>
    </x:row>
    <x:row r="192">
      <x:c r="A192" s="19" t="str">
        <x:v>A_flows</x:v>
      </x:c>
      <x:c r="B192" s="19" t="str">
        <x:v>research_evidence_package_health_system_patient_flows_2026-05-30.tar.gz</x:v>
      </x:c>
      <x:c r="C192" s="19" t="str">
        <x:v>Research A / health-system patient flows</x:v>
      </x:c>
      <x:c r="D192" s="19" t="str">
        <x:v>case</x:v>
      </x:c>
      <x:c r="E192" s="19" t="str">
        <x:v>C008</x:v>
      </x:c>
      <x:c r="F192" s="19" t="str">
        <x:v>S08</x:v>
      </x:c>
      <x:c r="G192" s="19" t="str">
        <x:v>When to visit an urgent treatment centre</x:v>
      </x:c>
      <x:c r="H192" s="19" t="str">
        <x:v>https://www.nhs.uk/nhs-services/urgent-and-emergency-care-services/when-to-visit-an-urgent-treatment-centre-urgent-care-centre-or-minor-injury-unit/</x:v>
      </x:c>
      <x:c r="I192" s="19" t="str">
        <x:v>England</x:v>
      </x:c>
      <x:c r="J192" s="19" t="str">
        <x:v>urgent care</x:v>
      </x:c>
      <x:c r="K192" s="19" t="str">
        <x:v>red flag missed; patient self-advocacy required</x:v>
      </x:c>
      <x:c r="L192" s="19" t="str">
        <x:v>urgent non-life-threatening illness/injury</x:v>
      </x:c>
      <x:c r="M192" s="19" t="str">
        <x:v>red flag missed; patient self-advocacy required</x:v>
      </x:c>
      <x:c r="N192" s="19" t="str">
        <x:v>When to visit an urgent treatment centre</x:v>
      </x:c>
      <x:c r="O192" s="19" t="str">
        <x:v>On arrival, patients may have observations by nurse, may wait by acuity not arrival order, and can be assessed/treated onsite or referred; GP is updated afterwards.</x:v>
      </x:c>
      <x:c r="P192" s="19" t="str">
        <x:v>Identified: worsening symptoms during wait if patient tells staff; risk: passive reliance on patient to report deterioration.</x:v>
      </x:c>
      <x:c r="Q192" s="19" t="str">
        <x:v>none</x:v>
      </x:c>
      <x:c r="R192" s="19" t="str">
        <x:v>Provide waiting-room check-ins and explicit 'tell us now if...' symptom prompts in multiple languages.</x:v>
      </x:c>
      <x:c r="S192" s="19" t="str">
        <x:v>medium</x:v>
      </x:c>
      <x:c r="T192" s="19" t="str">
        <x:v>02_extracted_evidence/cases_or_examples.csv</x:v>
      </x:c>
      <x:c r="U192" s="19" t="str">
        <x:v>research_evidence_package_health_system_patient_flows_2026-05-30.tar.gz::02_extracted_evidence/cases_or_examples.csv::C008</x:v>
      </x:c>
    </x:row>
    <x:row r="193">
      <x:c r="A193" s="19" t="str">
        <x:v>A_flows</x:v>
      </x:c>
      <x:c r="B193" s="19" t="str">
        <x:v>research_evidence_package_health_system_patient_flows_2026-05-30.tar.gz</x:v>
      </x:c>
      <x:c r="C193" s="19" t="str">
        <x:v>Research A / health-system patient flows</x:v>
      </x:c>
      <x:c r="D193" s="19" t="str">
        <x:v>case</x:v>
      </x:c>
      <x:c r="E193" s="19" t="str">
        <x:v>C009</x:v>
      </x:c>
      <x:c r="F193" s="19" t="str">
        <x:v>S09</x:v>
      </x:c>
      <x:c r="G193" s="19" t="str">
        <x:v>Vital Signs in the Urgent Care Center</x:v>
      </x:c>
      <x:c r="H193" s="19" t="str">
        <x:v>https://urgentcareassociation.org/wp-content/uploads/VITAL-SIGNS-IN-UC-CENTERS-04-2025_Revised.pdf</x:v>
      </x:c>
      <x:c r="I193" s="19" t="str">
        <x:v>US</x:v>
      </x:c>
      <x:c r="J193" s="19" t="str">
        <x:v>urgent care</x:v>
      </x:c>
      <x:c r="K193" s="19" t="str">
        <x:v>normal-test trap; lab trend missed; documentation error</x:v>
      </x:c>
      <x:c r="L193" s="19" t="str">
        <x:v>urgent illness/injury</x:v>
      </x:c>
      <x:c r="M193" s="19" t="str">
        <x:v>normal-test trap; lab trend missed; documentation error</x:v>
      </x:c>
      <x:c r="N193" s="19" t="str">
        <x:v>Vital Signs in the Urgent Care Center</x:v>
      </x:c>
      <x:c r="O193" s="19" t="str">
        <x:v>Initial vitals tailored to age, complaint and status; abnormal vitals reported and repeated.</x:v>
      </x:c>
      <x:c r="P193" s="19" t="str">
        <x:v>Identified: physiologic instability; missed: serious disease with normal or incomplete vitals.</x:v>
      </x:c>
      <x:c r="Q193" s="19" t="str">
        <x:v>ideally within 15 minutes of arrival</x:v>
      </x:c>
      <x:c r="R193" s="19" t="str">
        <x:v>Require abnormal-vital acknowledgment, repeat-vital timers and trend comparison across visits.</x:v>
      </x:c>
      <x:c r="S193" s="19" t="str">
        <x:v>medium</x:v>
      </x:c>
      <x:c r="T193" s="19" t="str">
        <x:v>02_extracted_evidence/cases_or_examples.csv</x:v>
      </x:c>
      <x:c r="U193" s="19" t="str">
        <x:v>research_evidence_package_health_system_patient_flows_2026-05-30.tar.gz::02_extracted_evidence/cases_or_examples.csv::C009</x:v>
      </x:c>
    </x:row>
    <x:row r="194">
      <x:c r="A194" s="19" t="str">
        <x:v>A_flows</x:v>
      </x:c>
      <x:c r="B194" s="19" t="str">
        <x:v>research_evidence_package_health_system_patient_flows_2026-05-30.tar.gz</x:v>
      </x:c>
      <x:c r="C194" s="19" t="str">
        <x:v>Research A / health-system patient flows</x:v>
      </x:c>
      <x:c r="D194" s="19" t="str">
        <x:v>case</x:v>
      </x:c>
      <x:c r="E194" s="19" t="str">
        <x:v>C010</x:v>
      </x:c>
      <x:c r="F194" s="19" t="str">
        <x:v>S10</x:v>
      </x:c>
      <x:c r="G194" s="19" t="str">
        <x:v>Red Flags Identification and Intervention Policy for Urgent Care Centers</x:v>
      </x:c>
      <x:c r="H194" s="19" t="str">
        <x:v>https://urgentcareassociation.org/wp-content/uploads/RED-FLAGS-04-2025_Revised.pdf</x:v>
      </x:c>
      <x:c r="I194" s="19" t="str">
        <x:v>US</x:v>
      </x:c>
      <x:c r="J194" s="19" t="str">
        <x:v>urgent care</x:v>
      </x:c>
      <x:c r="K194" s="19" t="str">
        <x:v>red flag missed; incomplete history; poor handoff</x:v>
      </x:c>
      <x:c r="L194" s="19" t="str">
        <x:v>emergency red-flag presentations presenting to urgent care</x:v>
      </x:c>
      <x:c r="M194" s="19" t="str">
        <x:v>red flag missed; incomplete history; poor handoff</x:v>
      </x:c>
      <x:c r="N194" s="19" t="str">
        <x:v>Red Flags Identification and Intervention Policy for Urgent Care Centers</x:v>
      </x:c>
      <x:c r="O194" s="19" t="str">
        <x:v>Registration/intake staff ask reason for visit; red flags trigger immediate rooming and clinician involvement or ED transfer.</x:v>
      </x:c>
      <x:c r="P194" s="19" t="str">
        <x:v>Identified: conditions too high-risk for routine urgent care; missed: red flags hidden by vague complaint or poor intake phrasing.</x:v>
      </x:c>
      <x:c r="Q194" s="19" t="str">
        <x:v>immediate</x:v>
      </x:c>
      <x:c r="R194" s="19" t="str">
        <x:v>Use plain-language red-flag checklist and escalation button at registration.</x:v>
      </x:c>
      <x:c r="S194" s="19" t="str">
        <x:v>medium</x:v>
      </x:c>
      <x:c r="T194" s="19" t="str">
        <x:v>02_extracted_evidence/cases_or_examples.csv</x:v>
      </x:c>
      <x:c r="U194" s="19" t="str">
        <x:v>research_evidence_package_health_system_patient_flows_2026-05-30.tar.gz::02_extracted_evidence/cases_or_examples.csv::C010</x:v>
      </x:c>
    </x:row>
    <x:row r="195">
      <x:c r="A195" s="19" t="str">
        <x:v>A_flows</x:v>
      </x:c>
      <x:c r="B195" s="19" t="str">
        <x:v>research_evidence_package_health_system_patient_flows_2026-05-30.tar.gz</x:v>
      </x:c>
      <x:c r="C195" s="19" t="str">
        <x:v>Research A / health-system patient flows</x:v>
      </x:c>
      <x:c r="D195" s="19" t="str">
        <x:v>case</x:v>
      </x:c>
      <x:c r="E195" s="19" t="str">
        <x:v>C011</x:v>
      </x:c>
      <x:c r="F195" s="19" t="str">
        <x:v>S11</x:v>
      </x:c>
      <x:c r="G195" s="19" t="str">
        <x:v>NHS 111 online</x:v>
      </x:c>
      <x:c r="H195" s="19" t="str">
        <x:v>https://111.nhs.uk/</x:v>
      </x:c>
      <x:c r="I195" s="19" t="str">
        <x:v>England</x:v>
      </x:c>
      <x:c r="J195" s="19" t="str">
        <x:v>telehealth</x:v>
      </x:c>
      <x:c r="K195" s="19" t="str">
        <x:v>incomplete history; wrong specialty; no one connected the dots</x:v>
      </x:c>
      <x:c r="L195" s="19" t="str">
        <x:v>urgent symptoms not immediately life-threatening</x:v>
      </x:c>
      <x:c r="M195" s="19" t="str">
        <x:v>incomplete history; wrong specialty; no one connected the dots</x:v>
      </x:c>
      <x:c r="N195" s="19" t="str">
        <x:v>NHS 111 online</x:v>
      </x:c>
      <x:c r="O195" s="19" t="str">
        <x:v>Patient completes one symptom pathway; service gives advice such as self-care, pharmacist, GP, UTC, ED or callback.</x:v>
      </x:c>
      <x:c r="P195" s="19" t="str">
        <x:v>Identified: service disposition; missed: multi-symptom or known-condition context if algorithm is used one symptom at a time.</x:v>
      </x:c>
      <x:c r="Q195" s="19" t="str">
        <x:v>none</x:v>
      </x:c>
      <x:c r="R195" s="19" t="str">
        <x:v>Allow multi-symptom summaries, 'not captured' text, prior-risk integration and easy escalation to human review.</x:v>
      </x:c>
      <x:c r="S195" s="19" t="str">
        <x:v>medium</x:v>
      </x:c>
      <x:c r="T195" s="19" t="str">
        <x:v>02_extracted_evidence/cases_or_examples.csv</x:v>
      </x:c>
      <x:c r="U195" s="19" t="str">
        <x:v>research_evidence_package_health_system_patient_flows_2026-05-30.tar.gz::02_extracted_evidence/cases_or_examples.csv::C011</x:v>
      </x:c>
    </x:row>
    <x:row r="196">
      <x:c r="A196" s="19" t="str">
        <x:v>A_flows</x:v>
      </x:c>
      <x:c r="B196" s="19" t="str">
        <x:v>research_evidence_package_health_system_patient_flows_2026-05-30.tar.gz</x:v>
      </x:c>
      <x:c r="C196" s="19" t="str">
        <x:v>Research A / health-system patient flows</x:v>
      </x:c>
      <x:c r="D196" s="19" t="str">
        <x:v>case</x:v>
      </x:c>
      <x:c r="E196" s="19" t="str">
        <x:v>C012</x:v>
      </x:c>
      <x:c r="F196" s="19" t="str">
        <x:v>S12</x:v>
      </x:c>
      <x:c r="G196" s="19" t="str">
        <x:v>NHS 111 online staff information</x:v>
      </x:c>
      <x:c r="H196" s="19" t="str">
        <x:v>https://digital.nhs.uk/services/nhs-111-online</x:v>
      </x:c>
      <x:c r="I196" s="19" t="str">
        <x:v>England</x:v>
      </x:c>
      <x:c r="J196" s="19" t="str">
        <x:v>telehealth</x:v>
      </x:c>
      <x:c r="K196" s="19" t="str">
        <x:v>wrong specialty; poor handoff; fragmented care</x:v>
      </x:c>
      <x:c r="L196" s="19" t="str">
        <x:v>urgent symptom triage</x:v>
      </x:c>
      <x:c r="M196" s="19" t="str">
        <x:v>wrong specialty; poor handoff; fragmented care</x:v>
      </x:c>
      <x:c r="N196" s="19" t="str">
        <x:v>NHS 111 online staff information</x:v>
      </x:c>
      <x:c r="O196" s="19" t="str">
        <x:v>Uses structured triage and service directory to recommend ambulance/ED/UTC/out-of-hours GP/GP/pharmacist/self-care outcomes.</x:v>
      </x:c>
      <x:c r="P196" s="19" t="str">
        <x:v>Identified: appropriate service destination; missed: directory availability or local pathway mismatches can redirect incorrectly.</x:v>
      </x:c>
      <x:c r="Q196" s="19" t="str">
        <x:v>none</x:v>
      </x:c>
      <x:c r="R196" s="19" t="str">
        <x:v>Audit outcome-to-arrival completion and failed referral attempts; surface no-capacity conditions.</x:v>
      </x:c>
      <x:c r="S196" s="19" t="str">
        <x:v>medium</x:v>
      </x:c>
      <x:c r="T196" s="19" t="str">
        <x:v>02_extracted_evidence/cases_or_examples.csv</x:v>
      </x:c>
      <x:c r="U196" s="19" t="str">
        <x:v>research_evidence_package_health_system_patient_flows_2026-05-30.tar.gz::02_extracted_evidence/cases_or_examples.csv::C012</x:v>
      </x:c>
    </x:row>
    <x:row r="197">
      <x:c r="A197" s="19" t="str">
        <x:v>A_flows</x:v>
      </x:c>
      <x:c r="B197" s="19" t="str">
        <x:v>research_evidence_package_health_system_patient_flows_2026-05-30.tar.gz</x:v>
      </x:c>
      <x:c r="C197" s="19" t="str">
        <x:v>Research A / health-system patient flows</x:v>
      </x:c>
      <x:c r="D197" s="19" t="str">
        <x:v>case</x:v>
      </x:c>
      <x:c r="E197" s="19" t="str">
        <x:v>C013</x:v>
      </x:c>
      <x:c r="F197" s="19" t="str">
        <x:v>S13</x:v>
      </x:c>
      <x:c r="G197" s="19" t="str">
        <x:v>Digital tools for online consultation in general practice</x:v>
      </x:c>
      <x:c r="H197" s="19" t="str">
        <x:v>https://www.hssib.org.uk/patient-safety-investigations/workforce-and-patient-safety/second-investigation-report/</x:v>
      </x:c>
      <x:c r="I197" s="19" t="str">
        <x:v>England</x:v>
      </x:c>
      <x:c r="J197" s="19" t="str">
        <x:v>telehealth</x:v>
      </x:c>
      <x:c r="K197" s="19" t="str">
        <x:v>digital access gap; incomplete history; no follow-up ownership; chronic illness invalidation</x:v>
      </x:c>
      <x:c r="L197" s="19" t="str">
        <x:v>varied primary-care requests; hidden serious illness</x:v>
      </x:c>
      <x:c r="M197" s="19" t="str">
        <x:v>digital access gap; incomplete history; no follow-up ownership; chronic illness invalidation</x:v>
      </x:c>
      <x:c r="N197" s="19" t="str">
        <x:v>Digital tools for online consultation in general practice</x:v>
      </x:c>
      <x:c r="O197" s="19" t="str">
        <x:v>Asynchronous online consultations support clinical/admin requests but may be capped or rerouted by practices for safety.</x:v>
      </x:c>
      <x:c r="P197" s="19" t="str">
        <x:v>Missed/delayed: safety incidents when digital tools reduce access, distort history or weaken proactive/long-term care.</x:v>
      </x:c>
      <x:c r="Q197" s="19" t="str">
        <x:v>varies</x:v>
      </x:c>
      <x:c r="R197" s="19" t="str">
        <x:v>Create safe fallback channels, complexity flags, remote-to-face-to-face conversion rules and continuity prompts.</x:v>
      </x:c>
      <x:c r="S197" s="19" t="str">
        <x:v>high</x:v>
      </x:c>
      <x:c r="T197" s="19" t="str">
        <x:v>02_extracted_evidence/cases_or_examples.csv</x:v>
      </x:c>
      <x:c r="U197" s="19" t="str">
        <x:v>research_evidence_package_health_system_patient_flows_2026-05-30.tar.gz::02_extracted_evidence/cases_or_examples.csv::C013</x:v>
      </x:c>
    </x:row>
    <x:row r="198">
      <x:c r="A198" s="19" t="str">
        <x:v>A_flows</x:v>
      </x:c>
      <x:c r="B198" s="19" t="str">
        <x:v>research_evidence_package_health_system_patient_flows_2026-05-30.tar.gz</x:v>
      </x:c>
      <x:c r="C198" s="19" t="str">
        <x:v>Research A / health-system patient flows</x:v>
      </x:c>
      <x:c r="D198" s="19" t="str">
        <x:v>case</x:v>
      </x:c>
      <x:c r="E198" s="19" t="str">
        <x:v>C014</x:v>
      </x:c>
      <x:c r="F198" s="19" t="str">
        <x:v>S14</x:v>
      </x:c>
      <x:c r="G198" s="19" t="str">
        <x:v>Telehealth and Patient Safety</x:v>
      </x:c>
      <x:c r="H198" s="19" t="str">
        <x:v>https://psnet.ahrq.gov/primer/telehealth-and-patient-safety</x:v>
      </x:c>
      <x:c r="I198" s="19" t="str">
        <x:v>US / international</x:v>
      </x:c>
      <x:c r="J198" s="19" t="str">
        <x:v>telehealth</x:v>
      </x:c>
      <x:c r="K198" s="19" t="str">
        <x:v>normal-test trap; incomplete physical exam; poor follow-up ownership</x:v>
      </x:c>
      <x:c r="L198" s="19" t="str">
        <x:v>acute or chronic problems assessed remotely</x:v>
      </x:c>
      <x:c r="M198" s="19" t="str">
        <x:v>normal-test trap; incomplete physical exam; poor follow-up ownership</x:v>
      </x:c>
      <x:c r="N198" s="19" t="str">
        <x:v>Telehealth and Patient Safety</x:v>
      </x:c>
      <x:c r="O198" s="19" t="str">
        <x:v>Telehealth can be safer when embedded in a medical home with records, tests, referrals and follow-up; risk rises when exam and communication are limited.</x:v>
      </x:c>
      <x:c r="P198" s="19" t="str">
        <x:v>Missed: diagnostic cues requiring auscultation, private/inaccessible body areas, objective vitals or hands-on exam.</x:v>
      </x:c>
      <x:c r="Q198" s="19" t="str">
        <x:v>varies</x:v>
      </x:c>
      <x:c r="R198" s="19" t="str">
        <x:v>Decision support should classify problems as telehealth-suitable vs requiring in-person exam/labs/imaging.</x:v>
      </x:c>
      <x:c r="S198" s="19" t="str">
        <x:v>high</x:v>
      </x:c>
      <x:c r="T198" s="19" t="str">
        <x:v>02_extracted_evidence/cases_or_examples.csv</x:v>
      </x:c>
      <x:c r="U198" s="19" t="str">
        <x:v>research_evidence_package_health_system_patient_flows_2026-05-30.tar.gz::02_extracted_evidence/cases_or_examples.csv::C014</x:v>
      </x:c>
    </x:row>
    <x:row r="199">
      <x:c r="A199" s="19" t="str">
        <x:v>A_flows</x:v>
      </x:c>
      <x:c r="B199" s="19" t="str">
        <x:v>research_evidence_package_health_system_patient_flows_2026-05-30.tar.gz</x:v>
      </x:c>
      <x:c r="C199" s="19" t="str">
        <x:v>Research A / health-system patient flows</x:v>
      </x:c>
      <x:c r="D199" s="19" t="str">
        <x:v>case</x:v>
      </x:c>
      <x:c r="E199" s="19" t="str">
        <x:v>C015</x:v>
      </x:c>
      <x:c r="F199" s="19" t="str">
        <x:v>S15</x:v>
      </x:c>
      <x:c r="G199" s="19" t="str">
        <x:v>Modern General Practice Model</x:v>
      </x:c>
      <x:c r="H199" s="19" t="str">
        <x:v>https://www.england.nhs.uk/long-read/modern-general-practice-model/</x:v>
      </x:c>
      <x:c r="I199" s="19" t="str">
        <x:v>England</x:v>
      </x:c>
      <x:c r="J199" s="19" t="str">
        <x:v>primary care</x:v>
      </x:c>
      <x:c r="K199" s="19" t="str">
        <x:v>incomplete history; wrong specialty; no one connected the dots</x:v>
      </x:c>
      <x:c r="L199" s="19" t="str">
        <x:v>broad primary-care problems</x:v>
      </x:c>
      <x:c r="M199" s="19" t="str">
        <x:v>incomplete history; wrong specialty; no one connected the dots</x:v>
      </x:c>
      <x:c r="N199" s="19" t="str">
        <x:v>Modern General Practice Model</x:v>
      </x:c>
      <x:c r="O199" s="19" t="str">
        <x:v>Modern access model directs patients via phone/online/in-person to the right professional first time, using care navigation and demand/capacity management.</x:v>
      </x:c>
      <x:c r="P199" s="19" t="str">
        <x:v>Identified: routing need; missed: clinical complexity if navigation lacks enough symptom/risk context.</x:v>
      </x:c>
      <x:c r="Q199" s="19" t="str">
        <x:v>none</x:v>
      </x:c>
      <x:c r="R199" s="19" t="str">
        <x:v>Separate admin routing from clinical triage; capture escalation flags and repeated contacts.</x:v>
      </x:c>
      <x:c r="S199" s="19" t="str">
        <x:v>high</x:v>
      </x:c>
      <x:c r="T199" s="19" t="str">
        <x:v>02_extracted_evidence/cases_or_examples.csv</x:v>
      </x:c>
      <x:c r="U199" s="19" t="str">
        <x:v>research_evidence_package_health_system_patient_flows_2026-05-30.tar.gz::02_extracted_evidence/cases_or_examples.csv::C015</x:v>
      </x:c>
    </x:row>
    <x:row r="200">
      <x:c r="A200" s="19" t="str">
        <x:v>A_flows</x:v>
      </x:c>
      <x:c r="B200" s="19" t="str">
        <x:v>research_evidence_package_health_system_patient_flows_2026-05-30.tar.gz</x:v>
      </x:c>
      <x:c r="C200" s="19" t="str">
        <x:v>Research A / health-system patient flows</x:v>
      </x:c>
      <x:c r="D200" s="19" t="str">
        <x:v>case</x:v>
      </x:c>
      <x:c r="E200" s="19" t="str">
        <x:v>C016</x:v>
      </x:c>
      <x:c r="F200" s="19" t="str">
        <x:v>S16</x:v>
      </x:c>
      <x:c r="G200" s="19" t="str">
        <x:v>Care navigation and triage in general practice</x:v>
      </x:c>
      <x:c r="H200" s="19" t="str">
        <x:v>https://www.bma.org.uk/advice-and-support/gp-practices/gp-service-provision/care-navigation-and-triage-in-general-practice</x:v>
      </x:c>
      <x:c r="I200" s="19" t="str">
        <x:v>UK</x:v>
      </x:c>
      <x:c r="J200" s="19" t="str">
        <x:v>primary care</x:v>
      </x:c>
      <x:c r="K200" s="19" t="str">
        <x:v>poor handoff; symptom dismissed; red flag missed</x:v>
      </x:c>
      <x:c r="L200" s="19" t="str">
        <x:v>primary-care symptoms and admin requests</x:v>
      </x:c>
      <x:c r="M200" s="19" t="str">
        <x:v>poor handoff; symptom dismissed; red flag missed</x:v>
      </x:c>
      <x:c r="N200" s="19" t="str">
        <x:v>Care navigation and triage in general practice</x:v>
      </x:c>
      <x:c r="O200" s="19" t="str">
        <x:v>Care navigation signposts to appropriate clinician or service; clinical triage by nurse/GP makes early clinical decisions.</x:v>
      </x:c>
      <x:c r="P200" s="19" t="str">
        <x:v>Identified: difference between signposting and clinical triage; missed: escalation if administrative navigation substitutes for clinical judgment.</x:v>
      </x:c>
      <x:c r="Q200" s="19" t="str">
        <x:v>none</x:v>
      </x:c>
      <x:c r="R200" s="19" t="str">
        <x:v>Make role boundaries explicit and route uncertain cases to clinical triage.</x:v>
      </x:c>
      <x:c r="S200" s="19" t="str">
        <x:v>medium</x:v>
      </x:c>
      <x:c r="T200" s="19" t="str">
        <x:v>02_extracted_evidence/cases_or_examples.csv</x:v>
      </x:c>
      <x:c r="U200" s="19" t="str">
        <x:v>research_evidence_package_health_system_patient_flows_2026-05-30.tar.gz::02_extracted_evidence/cases_or_examples.csv::C016</x:v>
      </x:c>
    </x:row>
    <x:row r="201">
      <x:c r="A201" s="19" t="str">
        <x:v>A_flows</x:v>
      </x:c>
      <x:c r="B201" s="19" t="str">
        <x:v>research_evidence_package_health_system_patient_flows_2026-05-30.tar.gz</x:v>
      </x:c>
      <x:c r="C201" s="19" t="str">
        <x:v>Research A / health-system patient flows</x:v>
      </x:c>
      <x:c r="D201" s="19" t="str">
        <x:v>case</x:v>
      </x:c>
      <x:c r="E201" s="19" t="str">
        <x:v>C017</x:v>
      </x:c>
      <x:c r="F201" s="19" t="str">
        <x:v>S17</x:v>
      </x:c>
      <x:c r="G201" s="19" t="str">
        <x:v>Suspected cancer: recognition and referral (NG12)</x:v>
      </x:c>
      <x:c r="H201" s="19" t="str">
        <x:v>https://www.nice.org.uk/guidance/NG12/</x:v>
      </x:c>
      <x:c r="I201" s="19" t="str">
        <x:v>England/Wales</x:v>
      </x:c>
      <x:c r="J201" s="19" t="str">
        <x:v>primary care</x:v>
      </x:c>
      <x:c r="K201" s="19" t="str">
        <x:v>normal-test trap; referral delay; rare disease delay</x:v>
      </x:c>
      <x:c r="L201" s="19" t="str">
        <x:v>suspected cancer</x:v>
      </x:c>
      <x:c r="M201" s="19" t="str">
        <x:v>normal-test trap; referral delay; rare disease delay</x:v>
      </x:c>
      <x:c r="N201" s="19" t="str">
        <x:v>Suspected cancer: recognition and referral (NG12)</x:v>
      </x:c>
      <x:c r="O201" s="19" t="str">
        <x:v>Guideline organizes referral/investigation actions by cancer site, symptom and findings; includes safety netting and diagnostic-process advice.</x:v>
      </x:c>
      <x:c r="P201" s="19" t="str">
        <x:v>Identified: cancer suspicion thresholds; missed: patients below threshold or with nonspecific/vague symptoms unless active monitoring occurs.</x:v>
      </x:c>
      <x:c r="Q201" s="19" t="str">
        <x:v>varies by pathway</x:v>
      </x:c>
      <x:c r="R201" s="19" t="str">
        <x:v>Add active-monitoring tasks and symptom persistence triggers, not only referral thresholds.</x:v>
      </x:c>
      <x:c r="S201" s="19" t="str">
        <x:v>high</x:v>
      </x:c>
      <x:c r="T201" s="19" t="str">
        <x:v>02_extracted_evidence/cases_or_examples.csv</x:v>
      </x:c>
      <x:c r="U201" s="19" t="str">
        <x:v>research_evidence_package_health_system_patient_flows_2026-05-30.tar.gz::02_extracted_evidence/cases_or_examples.csv::C017</x:v>
      </x:c>
    </x:row>
    <x:row r="202">
      <x:c r="A202" s="19" t="str">
        <x:v>A_flows</x:v>
      </x:c>
      <x:c r="B202" s="19" t="str">
        <x:v>research_evidence_package_health_system_patient_flows_2026-05-30.tar.gz</x:v>
      </x:c>
      <x:c r="C202" s="19" t="str">
        <x:v>Research A / health-system patient flows</x:v>
      </x:c>
      <x:c r="D202" s="19" t="str">
        <x:v>case</x:v>
      </x:c>
      <x:c r="E202" s="19" t="str">
        <x:v>C018</x:v>
      </x:c>
      <x:c r="F202" s="19" t="str">
        <x:v>S18</x:v>
      </x:c>
      <x:c r="G202" s="19" t="str">
        <x:v>Safety netting</x:v>
      </x:c>
      <x:c r="H202" s="19" t="str">
        <x:v>https://www.cancerresearchuk.org/health-professional/diagnosis/primary-care/safety-netting</x:v>
      </x:c>
      <x:c r="I202" s="19" t="str">
        <x:v>UK</x:v>
      </x:c>
      <x:c r="J202" s="19" t="str">
        <x:v>primary care</x:v>
      </x:c>
      <x:c r="K202" s="19" t="str">
        <x:v>normal-test trap; no follow-up ownership; repeated visits ignored</x:v>
      </x:c>
      <x:c r="L202" s="19" t="str">
        <x:v>possible cancer or other unresolved condition</x:v>
      </x:c>
      <x:c r="M202" s="19" t="str">
        <x:v>normal-test trap; no follow-up ownership; repeated visits ignored</x:v>
      </x:c>
      <x:c r="N202" s="19" t="str">
        <x:v>Safety netting</x:v>
      </x:c>
      <x:c r="O202" s="19" t="str">
        <x:v>Safety-netting gives time-bound follow-up, documents advice, ensures tests/referrals completed and monitors persistent symptoms even after negative tests.</x:v>
      </x:c>
      <x:c r="P202" s="19" t="str">
        <x:v>Identified: ongoing risk despite low-risk or negative initial results; missed: no owner for follow-up tasks.</x:v>
      </x:c>
      <x:c r="Q202" s="19" t="str">
        <x:v>time-bound by plan</x:v>
      </x:c>
      <x:c r="R202" s="19" t="str">
        <x:v>Build safety-net plans with due dates, owner, patient-facing instructions and re-presentation counters.</x:v>
      </x:c>
      <x:c r="S202" s="19" t="str">
        <x:v>medium</x:v>
      </x:c>
      <x:c r="T202" s="19" t="str">
        <x:v>02_extracted_evidence/cases_or_examples.csv</x:v>
      </x:c>
      <x:c r="U202" s="19" t="str">
        <x:v>research_evidence_package_health_system_patient_flows_2026-05-30.tar.gz::02_extracted_evidence/cases_or_examples.csv::C018</x:v>
      </x:c>
    </x:row>
    <x:row r="203">
      <x:c r="A203" s="19" t="str">
        <x:v>A_flows</x:v>
      </x:c>
      <x:c r="B203" s="19" t="str">
        <x:v>research_evidence_package_health_system_patient_flows_2026-05-30.tar.gz</x:v>
      </x:c>
      <x:c r="C203" s="19" t="str">
        <x:v>Research A / health-system patient flows</x:v>
      </x:c>
      <x:c r="D203" s="19" t="str">
        <x:v>case</x:v>
      </x:c>
      <x:c r="E203" s="19" t="str">
        <x:v>C019</x:v>
      </x:c>
      <x:c r="F203" s="19" t="str">
        <x:v>S19</x:v>
      </x:c>
      <x:c r="G203" s="19" t="str">
        <x:v>GP mythbuster: managing test results in general practice</x:v>
      </x:c>
      <x:c r="H203" s="19" t="str">
        <x:v>https://www.cqc.org.uk/guidance-regulation/gps/gp-mythbusters</x:v>
      </x:c>
      <x:c r="I203" s="19" t="str">
        <x:v>England</x:v>
      </x:c>
      <x:c r="J203" s="19" t="str">
        <x:v>primary care</x:v>
      </x:c>
      <x:c r="K203" s="19" t="str">
        <x:v>abnormal result not followed up; documentation error; no follow-up ownership</x:v>
      </x:c>
      <x:c r="L203" s="19" t="str">
        <x:v>any condition with ordered tests</x:v>
      </x:c>
      <x:c r="M203" s="19" t="str">
        <x:v>abnormal result not followed up; documentation error; no follow-up ownership</x:v>
      </x:c>
      <x:c r="N203" s="19" t="str">
        <x:v>GP mythbuster: managing test results in general practice</x:v>
      </x:c>
      <x:c r="O203" s="19" t="str">
        <x:v>Practice needs systems for ordering, tracking attendance, return/non-return, review, filing, patient communication and abnormal follow-up.</x:v>
      </x:c>
      <x:c r="P203" s="19" t="str">
        <x:v>Missed: abnormal result not acted on, result not returned, no patient communication or clinician absence gap.</x:v>
      </x:c>
      <x:c r="Q203" s="19" t="str">
        <x:v>varies</x:v>
      </x:c>
      <x:c r="R203" s="19" t="str">
        <x:v>Implement closed-loop result tracking, unresolved-result inboxes and backup reviewer rules.</x:v>
      </x:c>
      <x:c r="S203" s="19" t="str">
        <x:v>high</x:v>
      </x:c>
      <x:c r="T203" s="19" t="str">
        <x:v>02_extracted_evidence/cases_or_examples.csv</x:v>
      </x:c>
      <x:c r="U203" s="19" t="str">
        <x:v>research_evidence_package_health_system_patient_flows_2026-05-30.tar.gz::02_extracted_evidence/cases_or_examples.csv::C019</x:v>
      </x:c>
    </x:row>
    <x:row r="204">
      <x:c r="A204" s="19" t="str">
        <x:v>A_flows</x:v>
      </x:c>
      <x:c r="B204" s="19" t="str">
        <x:v>research_evidence_package_health_system_patient_flows_2026-05-30.tar.gz</x:v>
      </x:c>
      <x:c r="C204" s="19" t="str">
        <x:v>Research A / health-system patient flows</x:v>
      </x:c>
      <x:c r="D204" s="19" t="str">
        <x:v>case</x:v>
      </x:c>
      <x:c r="E204" s="19" t="str">
        <x:v>C020</x:v>
      </x:c>
      <x:c r="F204" s="19" t="str">
        <x:v>S20</x:v>
      </x:c>
      <x:c r="G204" s="19" t="str">
        <x:v>Continuity of care: delayed diagnosis in GP practices</x:v>
      </x:c>
      <x:c r="H204" s="19" t="str">
        <x:v>https://www.hssib.org.uk/patient-safety-investigations/continuity-of-care-delayed-diagnosis-in-gp-practices/investigation-report/pdf/</x:v>
      </x:c>
      <x:c r="I204" s="19" t="str">
        <x:v>England</x:v>
      </x:c>
      <x:c r="J204" s="19" t="str">
        <x:v>primary care</x:v>
      </x:c>
      <x:c r="K204" s="19" t="str">
        <x:v>fragmented care; no one connected the dots; missing family/history context; repeated visits ignored</x:v>
      </x:c>
      <x:c r="L204" s="19" t="str">
        <x:v>metastatic breast cancer presenting as back pain</x:v>
      </x:c>
      <x:c r="M204" s="19" t="str">
        <x:v>fragmented care; no one connected the dots; missing family/history context; repeated visits ignored</x:v>
      </x:c>
      <x:c r="N204" s="19" t="str">
        <x:v>Continuity of care: delayed diagnosis in GP practices</x:v>
      </x:c>
      <x:c r="O204" s="19" t="str">
        <x:v>Over 8 months the patient saw many clinicians; eventual GP found spinal lump and sent patient to ED where CT found metastatic cancer.</x:v>
      </x:c>
      <x:c r="P204" s="19" t="str">
        <x:v>Missed/delayed: unresolved symptoms and cancer-history context were not surfaced across repeat contacts.</x:v>
      </x:c>
      <x:c r="Q204" s="19" t="str">
        <x:v>8 months</x:v>
      </x:c>
      <x:c r="R204" s="19" t="str">
        <x:v>Surface unresolved symptom threads, prior high-risk history and multiple-clinician patterns in the EHR.</x:v>
      </x:c>
      <x:c r="S204" s="19" t="str">
        <x:v>high</x:v>
      </x:c>
      <x:c r="T204" s="19" t="str">
        <x:v>02_extracted_evidence/cases_or_examples.csv</x:v>
      </x:c>
      <x:c r="U204" s="19" t="str">
        <x:v>research_evidence_package_health_system_patient_flows_2026-05-30.tar.gz::02_extracted_evidence/cases_or_examples.csv::C020</x:v>
      </x:c>
    </x:row>
    <x:row r="205">
      <x:c r="A205" s="19" t="str">
        <x:v>A_flows</x:v>
      </x:c>
      <x:c r="B205" s="19" t="str">
        <x:v>research_evidence_package_health_system_patient_flows_2026-05-30.tar.gz</x:v>
      </x:c>
      <x:c r="C205" s="19" t="str">
        <x:v>Research A / health-system patient flows</x:v>
      </x:c>
      <x:c r="D205" s="19" t="str">
        <x:v>case</x:v>
      </x:c>
      <x:c r="E205" s="19" t="str">
        <x:v>C021</x:v>
      </x:c>
      <x:c r="F205" s="19" t="str">
        <x:v>S21</x:v>
      </x:c>
      <x:c r="G205" s="19" t="str">
        <x:v>Jess's Rule: Three strikes and we rethink</x:v>
      </x:c>
      <x:c r="H205" s="19" t="str">
        <x:v>https://www.england.nhs.uk/long-read/jesss-rule-three-strikes-and-we-rethink/</x:v>
      </x:c>
      <x:c r="I205" s="19" t="str">
        <x:v>England</x:v>
      </x:c>
      <x:c r="J205" s="19" t="str">
        <x:v>primary care</x:v>
      </x:c>
      <x:c r="K205" s="19" t="str">
        <x:v>repeated visits ignored; no one connected the dots; bias or minimization</x:v>
      </x:c>
      <x:c r="L205" s="19" t="str">
        <x:v>persistent or escalating unexplained symptoms; cancer in origin story</x:v>
      </x:c>
      <x:c r="M205" s="19" t="str">
        <x:v>repeated visits ignored; no one connected the dots; bias or minimization</x:v>
      </x:c>
      <x:c r="N205" s="19" t="str">
        <x:v>Jess's Rule: Three strikes and we rethink</x:v>
      </x:c>
      <x:c r="O205" s="19" t="str">
        <x:v>After three presentations, GP teams are prompted to reflect, review and rethink, consider face-to-face exam, second opinion, tests or referral.</x:v>
      </x:c>
      <x:c r="P205" s="19" t="str">
        <x:v>Identified: repeat presentation as a diagnostic signal; missed: if repeat visits are not counted across clinicians/channels.</x:v>
      </x:c>
      <x:c r="Q205" s="19" t="str">
        <x:v>origin story involved 5 months/20 consultations</x:v>
      </x:c>
      <x:c r="R205" s="19" t="str">
        <x:v>Create automatic repeat-presentation counters across phone/online/in-person and linked symptoms.</x:v>
      </x:c>
      <x:c r="S205" s="19" t="str">
        <x:v>medium</x:v>
      </x:c>
      <x:c r="T205" s="19" t="str">
        <x:v>02_extracted_evidence/cases_or_examples.csv</x:v>
      </x:c>
      <x:c r="U205" s="19" t="str">
        <x:v>research_evidence_package_health_system_patient_flows_2026-05-30.tar.gz::02_extracted_evidence/cases_or_examples.csv::C021</x:v>
      </x:c>
    </x:row>
    <x:row r="206">
      <x:c r="A206" s="19" t="str">
        <x:v>A_flows</x:v>
      </x:c>
      <x:c r="B206" s="19" t="str">
        <x:v>research_evidence_package_health_system_patient_flows_2026-05-30.tar.gz</x:v>
      </x:c>
      <x:c r="C206" s="19" t="str">
        <x:v>Research A / health-system patient flows</x:v>
      </x:c>
      <x:c r="D206" s="19" t="str">
        <x:v>case</x:v>
      </x:c>
      <x:c r="E206" s="19" t="str">
        <x:v>C022</x:v>
      </x:c>
      <x:c r="F206" s="19" t="str">
        <x:v>S22</x:v>
      </x:c>
      <x:c r="G206" s="19" t="str">
        <x:v>Years of being dismissed, ignored and belittled: Endometriosis UK diagnosis report</x:v>
      </x:c>
      <x:c r="H206" s="19" t="str">
        <x:v>https://www.endometriosis-uk.org/diagnosis-report</x:v>
      </x:c>
      <x:c r="I206" s="19" t="str">
        <x:v>UK</x:v>
      </x:c>
      <x:c r="J206" s="19" t="str">
        <x:v>primary care</x:v>
      </x:c>
      <x:c r="K206" s="19" t="str">
        <x:v>symptom dismissed; chronic illness invalidation; bias or minimization; patient self-advocacy required</x:v>
      </x:c>
      <x:c r="L206" s="19" t="str">
        <x:v>endometriosis</x:v>
      </x:c>
      <x:c r="M206" s="19" t="str">
        <x:v>symptom dismissed; chronic illness invalidation; bias or minimization; patient self-advocacy required</x:v>
      </x:c>
      <x:c r="N206" s="19" t="str">
        <x:v>Years of being dismissed, ignored and belittled: Endometriosis UK diagnosis report</x:v>
      </x:c>
      <x:c r="O206" s="19" t="str">
        <x:v>Survey documented repeated GP visits and A&amp;E attendance before diagnosis; respondents reported dismissal/minimisation.</x:v>
      </x:c>
      <x:c r="P206" s="19" t="str">
        <x:v>Missed/delayed: endometriosis diagnosis; patients often required repeated self-advocacy.</x:v>
      </x:c>
      <x:c r="Q206" s="19" t="str">
        <x:v>average 8 years 10 months</x:v>
      </x:c>
      <x:c r="R206" s="19" t="str">
        <x:v>Track symptom duration/severity, repeated visits and invalidating language; prompt specialist referral criteria review.</x:v>
      </x:c>
      <x:c r="S206" s="19" t="str">
        <x:v>medium</x:v>
      </x:c>
      <x:c r="T206" s="19" t="str">
        <x:v>02_extracted_evidence/cases_or_examples.csv</x:v>
      </x:c>
      <x:c r="U206" s="19" t="str">
        <x:v>research_evidence_package_health_system_patient_flows_2026-05-30.tar.gz::02_extracted_evidence/cases_or_examples.csv::C022</x:v>
      </x:c>
    </x:row>
    <x:row r="207">
      <x:c r="A207" s="19" t="str">
        <x:v>A_flows</x:v>
      </x:c>
      <x:c r="B207" s="19" t="str">
        <x:v>research_evidence_package_health_system_patient_flows_2026-05-30.tar.gz</x:v>
      </x:c>
      <x:c r="C207" s="19" t="str">
        <x:v>Research A / health-system patient flows</x:v>
      </x:c>
      <x:c r="D207" s="19" t="str">
        <x:v>case</x:v>
      </x:c>
      <x:c r="E207" s="19" t="str">
        <x:v>C023</x:v>
      </x:c>
      <x:c r="F207" s="19" t="str">
        <x:v>S23</x:v>
      </x:c>
      <x:c r="G207" s="19" t="str">
        <x:v>The impact of waiting for care</x:v>
      </x:c>
      <x:c r="H207" s="19" t="str">
        <x:v>https://www.healthwatch.co.uk/report/2023-10-03/impact-waiting-care</x:v>
      </x:c>
      <x:c r="I207" s="19" t="str">
        <x:v>England</x:v>
      </x:c>
      <x:c r="J207" s="19" t="str">
        <x:v>primary care / specialist referral</x:v>
      </x:c>
      <x:c r="K207" s="19" t="str">
        <x:v>referral delay; no follow-up ownership; patient self-advocacy required</x:v>
      </x:c>
      <x:c r="L207" s="19" t="str">
        <x:v>varied unresolved conditions while waiting</x:v>
      </x:c>
      <x:c r="M207" s="19" t="str">
        <x:v>referral delay; no follow-up ownership; patient self-advocacy required</x:v>
      </x:c>
      <x:c r="N207" s="19" t="str">
        <x:v>The impact of waiting for care</x:v>
      </x:c>
      <x:c r="O207" s="19" t="str">
        <x:v>Healthwatch gathered patient reports of waiting after GP referral, confusion over results and pressure to chase.</x:v>
      </x:c>
      <x:c r="P207" s="19" t="str">
        <x:v>Missed/delayed: follow-up appointments, specialist action, scans/tests; GP sometimes unable to accelerate despite abnormal tests.</x:v>
      </x:c>
      <x:c r="Q207" s="19" t="str">
        <x:v>varies</x:v>
      </x:c>
      <x:c r="R207" s="19" t="str">
        <x:v>Track referral state, wait risk, abnormal-test escalation and patient-visible next step.</x:v>
      </x:c>
      <x:c r="S207" s="19" t="str">
        <x:v>medium</x:v>
      </x:c>
      <x:c r="T207" s="19" t="str">
        <x:v>02_extracted_evidence/cases_or_examples.csv</x:v>
      </x:c>
      <x:c r="U207" s="19" t="str">
        <x:v>research_evidence_package_health_system_patient_flows_2026-05-30.tar.gz::02_extracted_evidence/cases_or_examples.csv::C023</x:v>
      </x:c>
    </x:row>
    <x:row r="208">
      <x:c r="A208" s="19" t="str">
        <x:v>A_flows</x:v>
      </x:c>
      <x:c r="B208" s="19" t="str">
        <x:v>research_evidence_package_health_system_patient_flows_2026-05-30.tar.gz</x:v>
      </x:c>
      <x:c r="C208" s="19" t="str">
        <x:v>Research A / health-system patient flows</x:v>
      </x:c>
      <x:c r="D208" s="19" t="str">
        <x:v>case</x:v>
      </x:c>
      <x:c r="E208" s="19" t="str">
        <x:v>C024</x:v>
      </x:c>
      <x:c r="F208" s="19" t="str">
        <x:v>S24</x:v>
      </x:c>
      <x:c r="G208" s="19" t="str">
        <x:v>Patients being harmed due to repeated mistakes in reading scans</x:v>
      </x:c>
      <x:c r="H208" s="19" t="str">
        <x:v>https://www.ombudsman.org.uk/news-and-blog/news/patients-being-harmed-due-repeated-mistakes-reading-scans</x:v>
      </x:c>
      <x:c r="I208" s="19" t="str">
        <x:v>England</x:v>
      </x:c>
      <x:c r="J208" s="19" t="str">
        <x:v>hospital outpatient / imaging / ED</x:v>
      </x:c>
      <x:c r="K208" s="19" t="str">
        <x:v>abnormal result not followed up; red flag missed; repeated visits ignored</x:v>
      </x:c>
      <x:c r="L208" s="19" t="str">
        <x:v>cancer and other scan-detectable conditions</x:v>
      </x:c>
      <x:c r="M208" s="19" t="str">
        <x:v>abnormal result not followed up; red flag missed; repeated visits ignored</x:v>
      </x:c>
      <x:c r="N208" s="19" t="str">
        <x:v>Patients being harmed due to repeated mistakes in reading scans</x:v>
      </x:c>
      <x:c r="O208" s="19" t="str">
        <x:v>Ombudsman reported repeated failures in scan reading, carrying out scans and follow-up; a cancer case was only identified at a fifth A&amp;E visit after lesion not reported.</x:v>
      </x:c>
      <x:c r="P208" s="19" t="str">
        <x:v>Missed/delayed: abnormal scan findings and cancer diagnosis.</x:v>
      </x:c>
      <x:c r="Q208" s="19" t="str">
        <x:v>example six-week delay; other cases vary</x:v>
      </x:c>
      <x:c r="R208" s="19" t="str">
        <x:v>Closed-loop imaging: critical finding acknowledgment, patient notification and escalation if no action documented.</x:v>
      </x:c>
      <x:c r="S208" s="19" t="str">
        <x:v>high</x:v>
      </x:c>
      <x:c r="T208" s="19" t="str">
        <x:v>02_extracted_evidence/cases_or_examples.csv</x:v>
      </x:c>
      <x:c r="U208" s="19" t="str">
        <x:v>research_evidence_package_health_system_patient_flows_2026-05-30.tar.gz::02_extracted_evidence/cases_or_examples.csv::C024</x:v>
      </x:c>
    </x:row>
    <x:row r="209">
      <x:c r="A209" s="19" t="str">
        <x:v>A_flows</x:v>
      </x:c>
      <x:c r="B209" s="19" t="str">
        <x:v>research_evidence_package_health_system_patient_flows_2026-05-30.tar.gz</x:v>
      </x:c>
      <x:c r="C209" s="19" t="str">
        <x:v>Research A / health-system patient flows</x:v>
      </x:c>
      <x:c r="D209" s="19" t="str">
        <x:v>case</x:v>
      </x:c>
      <x:c r="E209" s="19" t="str">
        <x:v>C025</x:v>
      </x:c>
      <x:c r="F209" s="19" t="str">
        <x:v>S25</x:v>
      </x:c>
      <x:c r="G209" s="19" t="str">
        <x:v>Failures in communication or follow-up of unexpected significant radiological findings</x:v>
      </x:c>
      <x:c r="H209" s="19" t="str">
        <x:v>https://www.hssib.org.uk/patient-safety-investigations/failures-in-communication-or-follow-up-of-unexpected-significant-radiological-findings/</x:v>
      </x:c>
      <x:c r="I209" s="19" t="str">
        <x:v>England</x:v>
      </x:c>
      <x:c r="J209" s="19" t="str">
        <x:v>radiology / ED / primary care</x:v>
      </x:c>
      <x:c r="K209" s="19" t="str">
        <x:v>poor handoff; abnormal result not followed up; no follow-up ownership</x:v>
      </x:c>
      <x:c r="L209" s="19" t="str">
        <x:v>lung cancer / unexpected significant radiology finding</x:v>
      </x:c>
      <x:c r="M209" s="19" t="str">
        <x:v>poor handoff; abnormal result not followed up; no follow-up ownership</x:v>
      </x:c>
      <x:c r="N209" s="19" t="str">
        <x:v>Failures in communication or follow-up of unexpected significant radiological findings</x:v>
      </x:c>
      <x:c r="O209" s="19" t="str">
        <x:v>Investigation traced multistep communication of unexpected significant findings and weak assurance that action occurred.</x:v>
      </x:c>
      <x:c r="P209" s="19" t="str">
        <x:v>Missed/delayed: significant finding not received or acted on; read receipts not enough.</x:v>
      </x:c>
      <x:c r="Q209" s="19" t="str">
        <x:v>varies</x:v>
      </x:c>
      <x:c r="R209" s="19" t="str">
        <x:v>Require an accountable result owner, escalation timer and auditable action completion, not just report delivery.</x:v>
      </x:c>
      <x:c r="S209" s="19" t="str">
        <x:v>high</x:v>
      </x:c>
      <x:c r="T209" s="19" t="str">
        <x:v>02_extracted_evidence/cases_or_examples.csv</x:v>
      </x:c>
      <x:c r="U209" s="19" t="str">
        <x:v>research_evidence_package_health_system_patient_flows_2026-05-30.tar.gz::02_extracted_evidence/cases_or_examples.csv::C025</x:v>
      </x:c>
    </x:row>
    <x:row r="210">
      <x:c r="A210" s="19" t="str">
        <x:v>A_flows</x:v>
      </x:c>
      <x:c r="B210" s="19" t="str">
        <x:v>research_evidence_package_health_system_patient_flows_2026-05-30.tar.gz</x:v>
      </x:c>
      <x:c r="C210" s="19" t="str">
        <x:v>Research A / health-system patient flows</x:v>
      </x:c>
      <x:c r="D210" s="19" t="str">
        <x:v>case</x:v>
      </x:c>
      <x:c r="E210" s="19" t="str">
        <x:v>C026</x:v>
      </x:c>
      <x:c r="F210" s="19" t="str">
        <x:v>S26</x:v>
      </x:c>
      <x:c r="G210" s="19" t="str">
        <x:v>Core Elements of Hospital Diagnostic Excellence</x:v>
      </x:c>
      <x:c r="H210" s="19" t="str">
        <x:v>https://www.cdc.gov/patient-safety/hcp/hospital-dx-excellence/index.html</x:v>
      </x:c>
      <x:c r="I210" s="19" t="str">
        <x:v>US</x:v>
      </x:c>
      <x:c r="J210" s="19" t="str">
        <x:v>inpatient ward / hospital outpatient</x:v>
      </x:c>
      <x:c r="K210" s="19" t="str">
        <x:v>poor handoff; no follow-up ownership; abnormal result not followed up</x:v>
      </x:c>
      <x:c r="L210" s="19" t="str">
        <x:v>missed diagnoses after discharge; lung malignancy suspicion; pending tests</x:v>
      </x:c>
      <x:c r="M210" s="19" t="str">
        <x:v>poor handoff; no follow-up ownership; abnormal result not followed up</x:v>
      </x:c>
      <x:c r="N210" s="19" t="str">
        <x:v>Core Elements of Hospital Diagnostic Excellence</x:v>
      </x:c>
      <x:c r="O210" s="19" t="str">
        <x:v>Hospital diagnostic excellence framework encourages targeting pending tests and suspicious imaging follow-up.</x:v>
      </x:c>
      <x:c r="P210" s="19" t="str">
        <x:v>Identified: high-risk diagnostic follow-up areas; missed: patients leaving hospital before test closure.</x:v>
      </x:c>
      <x:c r="Q210" s="19" t="str">
        <x:v>varies</x:v>
      </x:c>
      <x:c r="R210" s="19" t="str">
        <x:v>Create discharge-pending-test registry and patient/clinician notification loops.</x:v>
      </x:c>
      <x:c r="S210" s="19" t="str">
        <x:v>high</x:v>
      </x:c>
      <x:c r="T210" s="19" t="str">
        <x:v>02_extracted_evidence/cases_or_examples.csv</x:v>
      </x:c>
      <x:c r="U210" s="19" t="str">
        <x:v>research_evidence_package_health_system_patient_flows_2026-05-30.tar.gz::02_extracted_evidence/cases_or_examples.csv::C026</x:v>
      </x:c>
    </x:row>
    <x:row r="211">
      <x:c r="A211" s="19" t="str">
        <x:v>A_flows</x:v>
      </x:c>
      <x:c r="B211" s="19" t="str">
        <x:v>research_evidence_package_health_system_patient_flows_2026-05-30.tar.gz</x:v>
      </x:c>
      <x:c r="C211" s="19" t="str">
        <x:v>Research A / health-system patient flows</x:v>
      </x:c>
      <x:c r="D211" s="19" t="str">
        <x:v>case</x:v>
      </x:c>
      <x:c r="E211" s="19" t="str">
        <x:v>C027</x:v>
      </x:c>
      <x:c r="F211" s="19" t="str">
        <x:v>S27</x:v>
      </x:c>
      <x:c r="G211" s="19" t="str">
        <x:v>Referral Assessment Services - NHS e-Referral Service</x:v>
      </x:c>
      <x:c r="H211" s="19" t="str">
        <x:v>https://digital.nhs.uk/services/e-referral-service/document-library/referral-assessment-services</x:v>
      </x:c>
      <x:c r="I211" s="19" t="str">
        <x:v>England</x:v>
      </x:c>
      <x:c r="J211" s="19" t="str">
        <x:v>specialist clinic</x:v>
      </x:c>
      <x:c r="K211" s="19" t="str">
        <x:v>wrong specialty; referral delay; poor handoff</x:v>
      </x:c>
      <x:c r="L211" s="19" t="str">
        <x:v>conditions needing specialist opinion or diagnostic pathway</x:v>
      </x:c>
      <x:c r="M211" s="19" t="str">
        <x:v>wrong specialty; referral delay; poor handoff</x:v>
      </x:c>
      <x:c r="N211" s="19" t="str">
        <x:v>Referral Assessment Services - NHS e-Referral Service</x:v>
      </x:c>
      <x:c r="O211" s="19" t="str">
        <x:v>Referral Assessment Services allow provider review before booking; outcomes include booking, redirecting, requesting more info, or returning advice.</x:v>
      </x:c>
      <x:c r="P211" s="19" t="str">
        <x:v>Identified: suitable pathway before appointment; missed: wrong worklist/status or insufficient referral information delays care.</x:v>
      </x:c>
      <x:c r="Q211" s="19" t="str">
        <x:v>varies</x:v>
      </x:c>
      <x:c r="R211" s="19" t="str">
        <x:v>Make referral state and owner visible to referrer and patient; alert when more information is requested or referral returned.</x:v>
      </x:c>
      <x:c r="S211" s="19" t="str">
        <x:v>high</x:v>
      </x:c>
      <x:c r="T211" s="19" t="str">
        <x:v>02_extracted_evidence/cases_or_examples.csv</x:v>
      </x:c>
      <x:c r="U211" s="19" t="str">
        <x:v>research_evidence_package_health_system_patient_flows_2026-05-30.tar.gz::02_extracted_evidence/cases_or_examples.csv::C027</x:v>
      </x:c>
    </x:row>
    <x:row r="212">
      <x:c r="A212" s="19" t="str">
        <x:v>A_flows</x:v>
      </x:c>
      <x:c r="B212" s="19" t="str">
        <x:v>research_evidence_package_health_system_patient_flows_2026-05-30.tar.gz</x:v>
      </x:c>
      <x:c r="C212" s="19" t="str">
        <x:v>Research A / health-system patient flows</x:v>
      </x:c>
      <x:c r="D212" s="19" t="str">
        <x:v>case</x:v>
      </x:c>
      <x:c r="E212" s="19" t="str">
        <x:v>C028</x:v>
      </x:c>
      <x:c r="F212" s="19" t="str">
        <x:v>S28</x:v>
      </x:c>
      <x:c r="G212" s="19" t="str">
        <x:v>Diagnostic services - NHS e-Referral Service</x:v>
      </x:c>
      <x:c r="H212" s="19" t="str">
        <x:v>https://digital.nhs.uk/services/e-referral-service/document-library/diagnostic-services</x:v>
      </x:c>
      <x:c r="I212" s="19" t="str">
        <x:v>England</x:v>
      </x:c>
      <x:c r="J212" s="19" t="str">
        <x:v>hospital outpatient / diagnostic services</x:v>
      </x:c>
      <x:c r="K212" s="19" t="str">
        <x:v>incomplete history; wrong specialty; documentation error</x:v>
      </x:c>
      <x:c r="L212" s="19" t="str">
        <x:v>conditions suitable for direct-to-test or clinical assessment</x:v>
      </x:c>
      <x:c r="M212" s="19" t="str">
        <x:v>incomplete history; wrong specialty; documentation error</x:v>
      </x:c>
      <x:c r="N212" s="19" t="str">
        <x:v>Diagnostic services - NHS e-Referral Service</x:v>
      </x:c>
      <x:c r="O212" s="19" t="str">
        <x:v>Diagnostic e-RS models include direct-to-test, clinical assessment then test, and one-stop consultant-led models.</x:v>
      </x:c>
      <x:c r="P212" s="19" t="str">
        <x:v>Identified: bypassing first outpatient appointment for needed tests; missed: poor referral templates can omit critical context.</x:v>
      </x:c>
      <x:c r="Q212" s="19" t="str">
        <x:v>varies</x:v>
      </x:c>
      <x:c r="R212" s="19" t="str">
        <x:v>Embed mandatory clinical context fields and feedback loops for rejected/inappropriate tests.</x:v>
      </x:c>
      <x:c r="S212" s="19" t="str">
        <x:v>medium</x:v>
      </x:c>
      <x:c r="T212" s="19" t="str">
        <x:v>02_extracted_evidence/cases_or_examples.csv</x:v>
      </x:c>
      <x:c r="U212" s="19" t="str">
        <x:v>research_evidence_package_health_system_patient_flows_2026-05-30.tar.gz::02_extracted_evidence/cases_or_examples.csv::C028</x:v>
      </x:c>
    </x:row>
    <x:row r="213">
      <x:c r="A213" s="19" t="str">
        <x:v>A_flows</x:v>
      </x:c>
      <x:c r="B213" s="19" t="str">
        <x:v>research_evidence_package_health_system_patient_flows_2026-05-30.tar.gz</x:v>
      </x:c>
      <x:c r="C213" s="19" t="str">
        <x:v>Research A / health-system patient flows</x:v>
      </x:c>
      <x:c r="D213" s="19" t="str">
        <x:v>case</x:v>
      </x:c>
      <x:c r="E213" s="19" t="str">
        <x:v>C029</x:v>
      </x:c>
      <x:c r="F213" s="19" t="str">
        <x:v>S29</x:v>
      </x:c>
      <x:c r="G213" s="19" t="str">
        <x:v>Outpatient recovery and transformation improvement guide</x:v>
      </x:c>
      <x:c r="H213" s="19" t="str">
        <x:v>https://www.england.nhs.uk/long-read/outpatient-recovery-and-transformation-improvement-guide/</x:v>
      </x:c>
      <x:c r="I213" s="19" t="str">
        <x:v>England</x:v>
      </x:c>
      <x:c r="J213" s="19" t="str">
        <x:v>hospital outpatient / specialist clinic</x:v>
      </x:c>
      <x:c r="K213" s="19" t="str">
        <x:v>referral delay; no follow-up ownership; normal-test trap</x:v>
      </x:c>
      <x:c r="L213" s="19" t="str">
        <x:v>gastrointestinal and other specialty referrals</x:v>
      </x:c>
      <x:c r="M213" s="19" t="str">
        <x:v>referral delay; no follow-up ownership; normal-test trap</x:v>
      </x:c>
      <x:c r="N213" s="19" t="str">
        <x:v>Outpatient recovery and transformation improvement guide</x:v>
      </x:c>
      <x:c r="O213" s="19" t="str">
        <x:v>Improvement guide promotes advice/guidance, straight-to-test, pre-appointment hubs; one GI case cut waits through advice and e-RS.</x:v>
      </x:c>
      <x:c r="P213" s="19" t="str">
        <x:v>Identified: faster specialist input; missed: advice-only management without clear follow-up if symptoms persist.</x:v>
      </x:c>
      <x:c r="Q213" s="19" t="str">
        <x:v>case example: new patients 2-4 weeks vs 12-14 weeks before</x:v>
      </x:c>
      <x:c r="R213" s="19" t="str">
        <x:v>Record advice decisions with safety-net tasks and escalation criteria.</x:v>
      </x:c>
      <x:c r="S213" s="19" t="str">
        <x:v>medium</x:v>
      </x:c>
      <x:c r="T213" s="19" t="str">
        <x:v>02_extracted_evidence/cases_or_examples.csv</x:v>
      </x:c>
      <x:c r="U213" s="19" t="str">
        <x:v>research_evidence_package_health_system_patient_flows_2026-05-30.tar.gz::02_extracted_evidence/cases_or_examples.csv::C029</x:v>
      </x:c>
    </x:row>
    <x:row r="214">
      <x:c r="A214" s="19" t="str">
        <x:v>A_flows</x:v>
      </x:c>
      <x:c r="B214" s="19" t="str">
        <x:v>research_evidence_package_health_system_patient_flows_2026-05-30.tar.gz</x:v>
      </x:c>
      <x:c r="C214" s="19" t="str">
        <x:v>Research A / health-system patient flows</x:v>
      </x:c>
      <x:c r="D214" s="19" t="str">
        <x:v>case</x:v>
      </x:c>
      <x:c r="E214" s="19" t="str">
        <x:v>C030</x:v>
      </x:c>
      <x:c r="F214" s="19" t="str">
        <x:v>S30</x:v>
      </x:c>
      <x:c r="G214" s="19" t="str">
        <x:v>Health Center Program Compliance Manual: Continuity of Care and Hospital Admitting</x:v>
      </x:c>
      <x:c r="H214" s="19" t="str">
        <x:v>https://bphc.hrsa.gov/compliance/compliance-manual/chapter7</x:v>
      </x:c>
      <x:c r="I214" s="19" t="str">
        <x:v>US</x:v>
      </x:c>
      <x:c r="J214" s="19" t="str">
        <x:v>community health center</x:v>
      </x:c>
      <x:c r="K214" s="19" t="str">
        <x:v>poor handoff; fragmented care; no follow-up ownership</x:v>
      </x:c>
      <x:c r="L214" s="19" t="str">
        <x:v>post-ED/hospital follow-up and ongoing primary-care needs</x:v>
      </x:c>
      <x:c r="M214" s="19" t="str">
        <x:v>poor handoff; fragmented care; no follow-up ownership</x:v>
      </x:c>
      <x:c r="N214" s="19" t="str">
        <x:v>Health Center Program Compliance Manual: Continuity of Care and Hospital Admitting</x:v>
      </x:c>
      <x:c r="O214" s="19" t="str">
        <x:v>Health centers must have referral/hospital arrangements and processes to receive/record ED or hospital visit information and follow-up actions.</x:v>
      </x:c>
      <x:c r="P214" s="19" t="str">
        <x:v>Identified: need for continuity; missed: discharge info not received or tracked.</x:v>
      </x:c>
      <x:c r="Q214" s="19" t="str">
        <x:v>varies</x:v>
      </x:c>
      <x:c r="R214" s="19" t="str">
        <x:v>Ingest outside discharge/test data and assign follow-up ownership automatically.</x:v>
      </x:c>
      <x:c r="S214" s="19" t="str">
        <x:v>high</x:v>
      </x:c>
      <x:c r="T214" s="19" t="str">
        <x:v>02_extracted_evidence/cases_or_examples.csv</x:v>
      </x:c>
      <x:c r="U214" s="19" t="str">
        <x:v>research_evidence_package_health_system_patient_flows_2026-05-30.tar.gz::02_extracted_evidence/cases_or_examples.csv::C030</x:v>
      </x:c>
    </x:row>
    <x:row r="215">
      <x:c r="A215" s="19" t="str">
        <x:v>A_flows</x:v>
      </x:c>
      <x:c r="B215" s="19" t="str">
        <x:v>research_evidence_package_health_system_patient_flows_2026-05-30.tar.gz</x:v>
      </x:c>
      <x:c r="C215" s="19" t="str">
        <x:v>Research A / health-system patient flows</x:v>
      </x:c>
      <x:c r="D215" s="19" t="str">
        <x:v>case</x:v>
      </x:c>
      <x:c r="E215" s="19" t="str">
        <x:v>C031</x:v>
      </x:c>
      <x:c r="F215" s="19" t="str">
        <x:v>S31</x:v>
      </x:c>
      <x:c r="G215" s="19" t="str">
        <x:v>Health Center Program: Patient-Centered Medical Home</x:v>
      </x:c>
      <x:c r="H215" s="19" t="str">
        <x:v>https://bphc.hrsa.gov/technical-assistance/clinical-quality-improvement/patient-centered-medical-home</x:v>
      </x:c>
      <x:c r="I215" s="19" t="str">
        <x:v>US</x:v>
      </x:c>
      <x:c r="J215" s="19" t="str">
        <x:v>community health center</x:v>
      </x:c>
      <x:c r="K215" s="19" t="str">
        <x:v>fragmented care; no follow-up ownership</x:v>
      </x:c>
      <x:c r="L215" s="19" t="str">
        <x:v>chronic disease and preventive care</x:v>
      </x:c>
      <x:c r="M215" s="19" t="str">
        <x:v>fragmented care; no follow-up ownership</x:v>
      </x:c>
      <x:c r="N215" s="19" t="str">
        <x:v>Health Center Program: Patient-Centered Medical Home</x:v>
      </x:c>
      <x:c r="O215" s="19" t="str">
        <x:v>PCMH recognition emphasizes care coordination and continuous quality improvement in health centers.</x:v>
      </x:c>
      <x:c r="P215" s="19" t="str">
        <x:v>Identified: coordination model; missed: PCMH standards may not guarantee specific diagnostic follow-up closure without local systems.</x:v>
      </x:c>
      <x:c r="Q215" s="19" t="str">
        <x:v>none</x:v>
      </x:c>
      <x:c r="R215" s="19" t="str">
        <x:v>Translate PCMH concepts into concrete diagnostic queues, unresolved-symptom lists and abnormal-result registries.</x:v>
      </x:c>
      <x:c r="S215" s="19" t="str">
        <x:v>medium</x:v>
      </x:c>
      <x:c r="T215" s="19" t="str">
        <x:v>02_extracted_evidence/cases_or_examples.csv</x:v>
      </x:c>
      <x:c r="U215" s="19" t="str">
        <x:v>research_evidence_package_health_system_patient_flows_2026-05-30.tar.gz::02_extracted_evidence/cases_or_examples.csv::C031</x:v>
      </x:c>
    </x:row>
    <x:row r="216">
      <x:c r="A216" s="19" t="str">
        <x:v>A_flows</x:v>
      </x:c>
      <x:c r="B216" s="19" t="str">
        <x:v>research_evidence_package_health_system_patient_flows_2026-05-30.tar.gz</x:v>
      </x:c>
      <x:c r="C216" s="19" t="str">
        <x:v>Research A / health-system patient flows</x:v>
      </x:c>
      <x:c r="D216" s="19" t="str">
        <x:v>case</x:v>
      </x:c>
      <x:c r="E216" s="19" t="str">
        <x:v>C032</x:v>
      </x:c>
      <x:c r="F216" s="19" t="str">
        <x:v>S32</x:v>
      </x:c>
      <x:c r="G216" s="19" t="str">
        <x:v>Reach and effectiveness of a centralized navigation program for patients with positive FITs</x:v>
      </x:c>
      <x:c r="H216" s="19" t="str">
        <x:v>https://www.sciencedirect.com/science/article/pii/S221133552300102X</x:v>
      </x:c>
      <x:c r="I216" s="19" t="str">
        <x:v>US: North Carolina</x:v>
      </x:c>
      <x:c r="J216" s="19" t="str">
        <x:v>community health center / public health screening</x:v>
      </x:c>
      <x:c r="K216" s="19" t="str">
        <x:v>abnormal result not followed up; patient self-advocacy required; no follow-up ownership</x:v>
      </x:c>
      <x:c r="L216" s="19" t="str">
        <x:v>colorectal cancer risk after abnormal FIT</x:v>
      </x:c>
      <x:c r="M216" s="19" t="str">
        <x:v>abnormal result not followed up; patient self-advocacy required; no follow-up ownership</x:v>
      </x:c>
      <x:c r="N216" s="19" t="str">
        <x:v>Reach and effectiveness of a centralized navigation program for patients with positive FITs</x:v>
      </x:c>
      <x:c r="O216" s="19" t="str">
        <x:v>Mailed FIT outreach identified abnormal results; centralized patient navigation addressed informational, emotional, financial and transport barriers to colonoscopy.</x:v>
      </x:c>
      <x:c r="P216" s="19" t="str">
        <x:v>Identified: abnormal FIT needing colonoscopy; missed: patients not reached or declining navigation remain at risk.</x:v>
      </x:c>
      <x:c r="Q216" s="19" t="str">
        <x:v>follow-up within 9 months measured</x:v>
      </x:c>
      <x:c r="R216" s="19" t="str">
        <x:v>Track abnormal-screen closure and navigator barrier categories to completion.</x:v>
      </x:c>
      <x:c r="S216" s="19" t="str">
        <x:v>medium</x:v>
      </x:c>
      <x:c r="T216" s="19" t="str">
        <x:v>02_extracted_evidence/cases_or_examples.csv</x:v>
      </x:c>
      <x:c r="U216" s="19" t="str">
        <x:v>research_evidence_package_health_system_patient_flows_2026-05-30.tar.gz::02_extracted_evidence/cases_or_examples.csv::C032</x:v>
      </x:c>
    </x:row>
    <x:row r="217">
      <x:c r="A217" s="19" t="str">
        <x:v>A_flows</x:v>
      </x:c>
      <x:c r="B217" s="19" t="str">
        <x:v>research_evidence_package_health_system_patient_flows_2026-05-30.tar.gz</x:v>
      </x:c>
      <x:c r="C217" s="19" t="str">
        <x:v>Research A / health-system patient flows</x:v>
      </x:c>
      <x:c r="D217" s="19" t="str">
        <x:v>case</x:v>
      </x:c>
      <x:c r="E217" s="19" t="str">
        <x:v>C033</x:v>
      </x:c>
      <x:c r="F217" s="19" t="str">
        <x:v>S33</x:v>
      </x:c>
      <x:c r="G217" s="19" t="str">
        <x:v>Implementing a successful patient navigation program for follow-up colonoscopy after abnormal FIT</x:v>
      </x:c>
      <x:c r="H217" s="19" t="str">
        <x:v>https://journals.plos.org/plosone/article?id=10.1371/journal.pone.0343659</x:v>
      </x:c>
      <x:c r="I217" s="19" t="str">
        <x:v>US: Washington state</x:v>
      </x:c>
      <x:c r="J217" s="19" t="str">
        <x:v>community health center / screening</x:v>
      </x:c>
      <x:c r="K217" s="19" t="str">
        <x:v>referral delay; fragmented care; documentation error</x:v>
      </x:c>
      <x:c r="L217" s="19" t="str">
        <x:v>abnormal FIT requiring colonoscopy</x:v>
      </x:c>
      <x:c r="M217" s="19" t="str">
        <x:v>referral delay; fragmented care; documentation error</x:v>
      </x:c>
      <x:c r="N217" s="19" t="str">
        <x:v>Implementing a successful patient navigation program for follow-up colonoscopy after abnormal FIT</x:v>
      </x:c>
      <x:c r="O217" s="19" t="str">
        <x:v>PRECISE trial implementation support trained navigators and documented challenges in workload, documentation, partnerships and tracking.</x:v>
      </x:c>
      <x:c r="P217" s="19" t="str">
        <x:v>Identified: implementation barriers to closing abnormal FIT follow-up.</x:v>
      </x:c>
      <x:c r="Q217" s="19" t="str">
        <x:v>varies</x:v>
      </x:c>
      <x:c r="R217" s="19" t="str">
        <x:v>Build navigator work queues, cross-organization data sharing and colonoscopy-status reconciliation.</x:v>
      </x:c>
      <x:c r="S217" s="19" t="str">
        <x:v>medium</x:v>
      </x:c>
      <x:c r="T217" s="19" t="str">
        <x:v>02_extracted_evidence/cases_or_examples.csv</x:v>
      </x:c>
      <x:c r="U217" s="19" t="str">
        <x:v>research_evidence_package_health_system_patient_flows_2026-05-30.tar.gz::02_extracted_evidence/cases_or_examples.csv::C033</x:v>
      </x:c>
    </x:row>
    <x:row r="218">
      <x:c r="A218" s="19" t="str">
        <x:v>A_flows</x:v>
      </x:c>
      <x:c r="B218" s="19" t="str">
        <x:v>research_evidence_package_health_system_patient_flows_2026-05-30.tar.gz</x:v>
      </x:c>
      <x:c r="C218" s="19" t="str">
        <x:v>Research A / health-system patient flows</x:v>
      </x:c>
      <x:c r="D218" s="19" t="str">
        <x:v>case</x:v>
      </x:c>
      <x:c r="E218" s="19" t="str">
        <x:v>C034</x:v>
      </x:c>
      <x:c r="F218" s="19" t="str">
        <x:v>S34</x:v>
      </x:c>
      <x:c r="G218" s="19" t="str">
        <x:v>Bowel cancer screening</x:v>
      </x:c>
      <x:c r="H218" s="19" t="str">
        <x:v>https://www.nhs.uk/tests-and-treatments/bowel-cancer-screening/</x:v>
      </x:c>
      <x:c r="I218" s="19" t="str">
        <x:v>England</x:v>
      </x:c>
      <x:c r="J218" s="19" t="str">
        <x:v>public health screening</x:v>
      </x:c>
      <x:c r="K218" s="19" t="str">
        <x:v>normal-test trap; no follow-up ownership</x:v>
      </x:c>
      <x:c r="L218" s="19" t="str">
        <x:v>bowel cancer</x:v>
      </x:c>
      <x:c r="M218" s="19" t="str">
        <x:v>normal-test trap; no follow-up ownership</x:v>
      </x:c>
      <x:c r="N218" s="19" t="str">
        <x:v>Bowel cancer screening</x:v>
      </x:c>
      <x:c r="O218" s="19" t="str">
        <x:v>Eligible people receive FIT at home; results usually within 2 weeks; further tests lead to specialist nurse and usually colonoscopy; negative screen does not rule out cancer if symptoms occur.</x:v>
      </x:c>
      <x:c r="P218" s="19" t="str">
        <x:v>Identified: occult blood needing diagnostic work-up; missed: symptomatic people reassured by negative screening result.</x:v>
      </x:c>
      <x:c r="Q218" s="19" t="str">
        <x:v>result usually within 2 weeks</x:v>
      </x:c>
      <x:c r="R218" s="19" t="str">
        <x:v>Pair negative results with symptom-trigger advice and GP follow-up prompts.</x:v>
      </x:c>
      <x:c r="S218" s="19" t="str">
        <x:v>high</x:v>
      </x:c>
      <x:c r="T218" s="19" t="str">
        <x:v>02_extracted_evidence/cases_or_examples.csv</x:v>
      </x:c>
      <x:c r="U218" s="19" t="str">
        <x:v>research_evidence_package_health_system_patient_flows_2026-05-30.tar.gz::02_extracted_evidence/cases_or_examples.csv::C034</x:v>
      </x:c>
    </x:row>
    <x:row r="219">
      <x:c r="A219" s="19" t="str">
        <x:v>A_flows</x:v>
      </x:c>
      <x:c r="B219" s="19" t="str">
        <x:v>research_evidence_package_health_system_patient_flows_2026-05-30.tar.gz</x:v>
      </x:c>
      <x:c r="C219" s="19" t="str">
        <x:v>Research A / health-system patient flows</x:v>
      </x:c>
      <x:c r="D219" s="19" t="str">
        <x:v>case</x:v>
      </x:c>
      <x:c r="E219" s="19" t="str">
        <x:v>C035</x:v>
      </x:c>
      <x:c r="F219" s="19" t="str">
        <x:v>S35</x:v>
      </x:c>
      <x:c r="G219" s="19" t="str">
        <x:v>Breast screening programme: pathway requirements</x:v>
      </x:c>
      <x:c r="H219" s="19" t="str">
        <x:v>https://www.gov.uk/government/publications/breast-screening-programme-pathway-requirements/breast-screening-programme-pathway-requirements</x:v>
      </x:c>
      <x:c r="I219" s="19" t="str">
        <x:v>England</x:v>
      </x:c>
      <x:c r="J219" s="19" t="str">
        <x:v>public health screening</x:v>
      </x:c>
      <x:c r="K219" s="19" t="str">
        <x:v>no follow-up ownership; abnormal result not followed up; patient self-advocacy required</x:v>
      </x:c>
      <x:c r="L219" s="19" t="str">
        <x:v>breast cancer</x:v>
      </x:c>
      <x:c r="M219" s="19" t="str">
        <x:v>no follow-up ownership; abnormal result not followed up; patient self-advocacy required</x:v>
      </x:c>
      <x:c r="N219" s="19" t="str">
        <x:v>Breast screening programme: pathway requirements</x:v>
      </x:c>
      <x:c r="O219" s="19" t="str">
        <x:v>Programme sends invitations, performs mammography, recalls non-attenders/technical failures, and sends abnormal cases to assessment clinic/MDT.</x:v>
      </x:c>
      <x:c r="P219" s="19" t="str">
        <x:v>Identified: mammographic abnormalities; missed: non-attendance, unclear images, communication failures.</x:v>
      </x:c>
      <x:c r="Q219" s="19" t="str">
        <x:v>pathway-specific</x:v>
      </x:c>
      <x:c r="R219" s="19" t="str">
        <x:v>Track invitations to attendance to result to assessment closure, including failed contacts.</x:v>
      </x:c>
      <x:c r="S219" s="19" t="str">
        <x:v>high</x:v>
      </x:c>
      <x:c r="T219" s="19" t="str">
        <x:v>02_extracted_evidence/cases_or_examples.csv</x:v>
      </x:c>
      <x:c r="U219" s="19" t="str">
        <x:v>research_evidence_package_health_system_patient_flows_2026-05-30.tar.gz::02_extracted_evidence/cases_or_examples.csv::C035</x:v>
      </x:c>
    </x:row>
    <x:row r="220">
      <x:c r="A220" s="19" t="str">
        <x:v>A_flows</x:v>
      </x:c>
      <x:c r="B220" s="19" t="str">
        <x:v>research_evidence_package_health_system_patient_flows_2026-05-30.tar.gz</x:v>
      </x:c>
      <x:c r="C220" s="19" t="str">
        <x:v>Research A / health-system patient flows</x:v>
      </x:c>
      <x:c r="D220" s="19" t="str">
        <x:v>case</x:v>
      </x:c>
      <x:c r="E220" s="19" t="str">
        <x:v>C036</x:v>
      </x:c>
      <x:c r="F220" s="19" t="str">
        <x:v>S37</x:v>
      </x:c>
      <x:c r="G220" s="19" t="str">
        <x:v>Patient Navigation</x:v>
      </x:c>
      <x:c r="H220" s="19" t="str">
        <x:v>https://www.cdc.gov/cancer/php/interventions/patient-navigation.html</x:v>
      </x:c>
      <x:c r="I220" s="19" t="str">
        <x:v>US</x:v>
      </x:c>
      <x:c r="J220" s="19" t="str">
        <x:v>public health screening / community</x:v>
      </x:c>
      <x:c r="K220" s="19" t="str">
        <x:v>fragmented care; patient self-advocacy required; referral delay</x:v>
      </x:c>
      <x:c r="L220" s="19" t="str">
        <x:v>breast, cervical, colorectal cancer screening and diagnosis</x:v>
      </x:c>
      <x:c r="M220" s="19" t="str">
        <x:v>fragmented care; patient self-advocacy required; referral delay</x:v>
      </x:c>
      <x:c r="N220" s="19" t="str">
        <x:v>Patient Navigation</x:v>
      </x:c>
      <x:c r="O220" s="19" t="str">
        <x:v>CDC describes navigators helping people overcome practical, informational and trust barriers to screening and diagnosis.</x:v>
      </x:c>
      <x:c r="P220" s="19" t="str">
        <x:v>Identified: access barriers; missed: patients who disappear between positive screen and diagnostic test.</x:v>
      </x:c>
      <x:c r="Q220" s="19" t="str">
        <x:v>varies</x:v>
      </x:c>
      <x:c r="R220" s="19" t="str">
        <x:v>Barrier taxonomy should be part of follow-up workflow, not free-text only.</x:v>
      </x:c>
      <x:c r="S220" s="19" t="str">
        <x:v>high</x:v>
      </x:c>
      <x:c r="T220" s="19" t="str">
        <x:v>02_extracted_evidence/cases_or_examples.csv</x:v>
      </x:c>
      <x:c r="U220" s="19" t="str">
        <x:v>research_evidence_package_health_system_patient_flows_2026-05-30.tar.gz::02_extracted_evidence/cases_or_examples.csv::C036</x:v>
      </x:c>
    </x:row>
    <x:row r="221">
      <x:c r="A221" s="19" t="str">
        <x:v>A_flows</x:v>
      </x:c>
      <x:c r="B221" s="19" t="str">
        <x:v>research_evidence_package_health_system_patient_flows_2026-05-30.tar.gz</x:v>
      </x:c>
      <x:c r="C221" s="19" t="str">
        <x:v>Research A / health-system patient flows</x:v>
      </x:c>
      <x:c r="D221" s="19" t="str">
        <x:v>case</x:v>
      </x:c>
      <x:c r="E221" s="19" t="str">
        <x:v>C037</x:v>
      </x:c>
      <x:c r="F221" s="19" t="str">
        <x:v>S38</x:v>
      </x:c>
      <x:c r="G221" s="19" t="str">
        <x:v>Ayushman Bharat: Comprehensive Primary Health Care through Health and Wellness Centres</x:v>
      </x:c>
      <x:c r="H221" s="19" t="str">
        <x:v>https://aam.mohfw.gov.in/download/document/45a4ab64b74ab124cfd853ec9a0127e4.pdf</x:v>
      </x:c>
      <x:c r="I221" s="19" t="str">
        <x:v>India</x:v>
      </x:c>
      <x:c r="J221" s="19" t="str">
        <x:v>community health center / rural clinic</x:v>
      </x:c>
      <x:c r="K221" s="19" t="str">
        <x:v>referral delay; no follow-up ownership; lab trend missed</x:v>
      </x:c>
      <x:c r="L221" s="19" t="str">
        <x:v>hypertension, diabetes, oral/breast/cervical cancer, mental health, child illness and broader PHC</x:v>
      </x:c>
      <x:c r="M221" s="19" t="str">
        <x:v>referral delay; no follow-up ownership; lab trend missed</x:v>
      </x:c>
      <x:c r="N221" s="19" t="str">
        <x:v>Ayushman Bharat: Comprehensive Primary Health Care through Health and Wellness Centres</x:v>
      </x:c>
      <x:c r="O221" s="19" t="str">
        <x:v>HWCs use empanelment, home/community interaction and universal screening to identify risks before clinic attendance; CHO leads HWC team and referrals.</x:v>
      </x:c>
      <x:c r="P221" s="19" t="str">
        <x:v>Identified: hidden NCD/cancer risk; missed: follow-up/compliance if referral loop is not closed.</x:v>
      </x:c>
      <x:c r="Q221" s="19" t="str">
        <x:v>screening cycle varies</x:v>
      </x:c>
      <x:c r="R221" s="19" t="str">
        <x:v>Use community registry, positive-screen worklist and two-way referral closure with ASHA follow-up.</x:v>
      </x:c>
      <x:c r="S221" s="19" t="str">
        <x:v>high</x:v>
      </x:c>
      <x:c r="T221" s="19" t="str">
        <x:v>02_extracted_evidence/cases_or_examples.csv</x:v>
      </x:c>
      <x:c r="U221" s="19" t="str">
        <x:v>research_evidence_package_health_system_patient_flows_2026-05-30.tar.gz::02_extracted_evidence/cases_or_examples.csv::C037</x:v>
      </x:c>
    </x:row>
    <x:row r="222">
      <x:c r="A222" s="19" t="str">
        <x:v>A_flows</x:v>
      </x:c>
      <x:c r="B222" s="19" t="str">
        <x:v>research_evidence_package_health_system_patient_flows_2026-05-30.tar.gz</x:v>
      </x:c>
      <x:c r="C222" s="19" t="str">
        <x:v>Research A / health-system patient flows</x:v>
      </x:c>
      <x:c r="D222" s="19" t="str">
        <x:v>case</x:v>
      </x:c>
      <x:c r="E222" s="19" t="str">
        <x:v>C038</x:v>
      </x:c>
      <x:c r="F222" s="19" t="str">
        <x:v>S39</x:v>
      </x:c>
      <x:c r="G222" s="19" t="str">
        <x:v>Integrated Management of Childhood Illness</x:v>
      </x:c>
      <x:c r="H222" s="19" t="str">
        <x:v>https://www.who.int/teams/maternal-newborn-child-adolescent-health-and-ageing/child-health/integrated-management-of-childhood-illness/</x:v>
      </x:c>
      <x:c r="I222" s="19" t="str">
        <x:v>LMIC / global</x:v>
      </x:c>
      <x:c r="J222" s="19" t="str">
        <x:v>low-resource clinic</x:v>
      </x:c>
      <x:c r="K222" s="19" t="str">
        <x:v>red flag missed; referral delay; incomplete history</x:v>
      </x:c>
      <x:c r="L222" s="19" t="str">
        <x:v>childhood illnesses including pneumonia, diarrhoea, malaria, malnutrition</x:v>
      </x:c>
      <x:c r="M222" s="19" t="str">
        <x:v>red flag missed; referral delay; incomplete history</x:v>
      </x:c>
      <x:c r="N222" s="19" t="str">
        <x:v>Integrated Management of Childhood Illness</x:v>
      </x:c>
      <x:c r="O222" s="19" t="str">
        <x:v>IMCI uses evidence-based algorithms based on history/signs/symptoms when lab/radiology support is limited; includes treatment, counselling and referral for severe illness.</x:v>
      </x:c>
      <x:c r="P222" s="19" t="str">
        <x:v>Identified: severe illness and common syndromes without diagnostics; missed: atypical illness not covered by algorithm or supply/referral gaps.</x:v>
      </x:c>
      <x:c r="Q222" s="19" t="str">
        <x:v>none</x:v>
      </x:c>
      <x:c r="R222" s="19" t="str">
        <x:v>Show algorithm branch, missing supplies/tests and referral transport feasibility as workflow state.</x:v>
      </x:c>
      <x:c r="S222" s="19" t="str">
        <x:v>high</x:v>
      </x:c>
      <x:c r="T222" s="19" t="str">
        <x:v>02_extracted_evidence/cases_or_examples.csv</x:v>
      </x:c>
      <x:c r="U222" s="19" t="str">
        <x:v>research_evidence_package_health_system_patient_flows_2026-05-30.tar.gz::02_extracted_evidence/cases_or_examples.csv::C038</x:v>
      </x:c>
    </x:row>
    <x:row r="223">
      <x:c r="A223" s="19" t="str">
        <x:v>A_flows</x:v>
      </x:c>
      <x:c r="B223" s="19" t="str">
        <x:v>research_evidence_package_health_system_patient_flows_2026-05-30.tar.gz</x:v>
      </x:c>
      <x:c r="C223" s="19" t="str">
        <x:v>Research A / health-system patient flows</x:v>
      </x:c>
      <x:c r="D223" s="19" t="str">
        <x:v>case</x:v>
      </x:c>
      <x:c r="E223" s="19" t="str">
        <x:v>C039</x:v>
      </x:c>
      <x:c r="F223" s="19" t="str">
        <x:v>S40</x:v>
      </x:c>
      <x:c r="G223" s="19" t="str">
        <x:v>Integrated Community Case Management (iCCM)</x:v>
      </x:c>
      <x:c r="H223" s="19" t="str">
        <x:v>https://www.childhealthtaskforce.org/hubs/iccm</x:v>
      </x:c>
      <x:c r="I223" s="19" t="str">
        <x:v>LMIC / hard-to-reach communities</x:v>
      </x:c>
      <x:c r="J223" s="19" t="str">
        <x:v>home/community visit</x:v>
      </x:c>
      <x:c r="K223" s="19" t="str">
        <x:v>referral delay; poor handoff; low-resource supply gap</x:v>
      </x:c>
      <x:c r="L223" s="19" t="str">
        <x:v>malaria, pneumonia, diarrhoea in children under five</x:v>
      </x:c>
      <x:c r="M223" s="19" t="str">
        <x:v>referral delay; poor handoff; low-resource supply gap</x:v>
      </x:c>
      <x:c r="N223" s="19" t="str">
        <x:v>Integrated Community Case Management (iCCM)</x:v>
      </x:c>
      <x:c r="O223" s="19" t="str">
        <x:v>iCCM trains/supplies CHWs to diagnose/classify/treat uncomplicated cases and refer severe illness.</x:v>
      </x:c>
      <x:c r="P223" s="19" t="str">
        <x:v>Identified: common child illnesses outside facilities; missed: severe cases if CHW stockout, training gaps or referral failure.</x:v>
      </x:c>
      <x:c r="Q223" s="19" t="str">
        <x:v>none</x:v>
      </x:c>
      <x:c r="R223" s="19" t="str">
        <x:v>Design offline-first CHW decision support with danger-sign escalation and referral feedback.</x:v>
      </x:c>
      <x:c r="S223" s="19" t="str">
        <x:v>medium</x:v>
      </x:c>
      <x:c r="T223" s="19" t="str">
        <x:v>02_extracted_evidence/cases_or_examples.csv</x:v>
      </x:c>
      <x:c r="U223" s="19" t="str">
        <x:v>research_evidence_package_health_system_patient_flows_2026-05-30.tar.gz::02_extracted_evidence/cases_or_examples.csv::C039</x:v>
      </x:c>
    </x:row>
    <x:row r="224">
      <x:c r="A224" s="19" t="str">
        <x:v>A_flows</x:v>
      </x:c>
      <x:c r="B224" s="19" t="str">
        <x:v>research_evidence_package_health_system_patient_flows_2026-05-30.tar.gz</x:v>
      </x:c>
      <x:c r="C224" s="19" t="str">
        <x:v>Research A / health-system patient flows</x:v>
      </x:c>
      <x:c r="D224" s="19" t="str">
        <x:v>case</x:v>
      </x:c>
      <x:c r="E224" s="19" t="str">
        <x:v>C040</x:v>
      </x:c>
      <x:c r="F224" s="19" t="str">
        <x:v>S41</x:v>
      </x:c>
      <x:c r="G224" s="19" t="str">
        <x:v>Community-based case management: the RAcE programme</x:v>
      </x:c>
      <x:c r="H224" s="19" t="str">
        <x:v>https://www.who.int/teams/global-malaria-programme/case-management/community-based-case-management-race-programme</x:v>
      </x:c>
      <x:c r="I224" s="19" t="str">
        <x:v>DRC, Malawi, Mozambique, Niger, Nigeria</x:v>
      </x:c>
      <x:c r="J224" s="19" t="str">
        <x:v>home/community visit</x:v>
      </x:c>
      <x:c r="K224" s="19" t="str">
        <x:v>poor handoff; no follow-up ownership; fragmented care</x:v>
      </x:c>
      <x:c r="L224" s="19" t="str">
        <x:v>malaria, pneumonia, diarrhoea in under-five children</x:v>
      </x:c>
      <x:c r="M224" s="19" t="str">
        <x:v>poor handoff; no follow-up ownership; fragmented care</x:v>
      </x:c>
      <x:c r="N224" s="19" t="str">
        <x:v>Community-based case management: the RAcE programme</x:v>
      </x:c>
      <x:c r="O224" s="19" t="str">
        <x:v>RAcE supported iCCM scale-up through CHW training, supplies and diagnosis/treatment/referral in five countries.</x:v>
      </x:c>
      <x:c r="P224" s="19" t="str">
        <x:v>Identified: millions of common illness episodes; missed: sustainability, supervision and integration challenges.</x:v>
      </x:c>
      <x:c r="Q224" s="19" t="str">
        <x:v>programme period 2012-2018</x:v>
      </x:c>
      <x:c r="R224" s="19" t="str">
        <x:v>Add supervision, stock, referral and outcome data to CHW workflows.</x:v>
      </x:c>
      <x:c r="S224" s="19" t="str">
        <x:v>medium</x:v>
      </x:c>
      <x:c r="T224" s="19" t="str">
        <x:v>02_extracted_evidence/cases_or_examples.csv</x:v>
      </x:c>
      <x:c r="U224" s="19" t="str">
        <x:v>research_evidence_package_health_system_patient_flows_2026-05-30.tar.gz::02_extracted_evidence/cases_or_examples.csv::C040</x:v>
      </x:c>
    </x:row>
    <x:row r="225">
      <x:c r="A225" s="19" t="str">
        <x:v>A_flows</x:v>
      </x:c>
      <x:c r="B225" s="19" t="str">
        <x:v>research_evidence_package_health_system_patient_flows_2026-05-30.tar.gz</x:v>
      </x:c>
      <x:c r="C225" s="19" t="str">
        <x:v>Research A / health-system patient flows</x:v>
      </x:c>
      <x:c r="D225" s="19" t="str">
        <x:v>case</x:v>
      </x:c>
      <x:c r="E225" s="19" t="str">
        <x:v>C041</x:v>
      </x:c>
      <x:c r="F225" s="19" t="str">
        <x:v>S42</x:v>
      </x:c>
      <x:c r="G225" s="19" t="str">
        <x:v>Effectiveness of a structured triage system in a resource-limited rural hospital in Uganda</x:v>
      </x:c>
      <x:c r="H225" s="19" t="str">
        <x:v>https://link.springer.com/article/10.1186/s12245-025-01005-z</x:v>
      </x:c>
      <x:c r="I225" s="19" t="str">
        <x:v>Uganda</x:v>
      </x:c>
      <x:c r="J225" s="19" t="str">
        <x:v>rural clinic</x:v>
      </x:c>
      <x:c r="K225" s="19" t="str">
        <x:v>red flag missed; arrival; poor handoff</x:v>
      </x:c>
      <x:c r="L225" s="19" t="str">
        <x:v>urgent/emergency cases among general OPD patients</x:v>
      </x:c>
      <x:c r="M225" s="19" t="str">
        <x:v>red flag missed; arrival; poor handoff</x:v>
      </x:c>
      <x:c r="N225" s="19" t="str">
        <x:v>Effectiveness of a structured triage system in a resource-limited rural hospital in Uganda</x:v>
      </x:c>
      <x:c r="O225" s="19" t="str">
        <x:v>Rural OPD implemented IITT-adapted structured triage using a three-colour checklist on charts and short training; patient flow improved without added resources.</x:v>
      </x:c>
      <x:c r="P225" s="19" t="str">
        <x:v>Identified: urgent/emergency cases earlier; missed: undertriage still possible and formal triage requires staff buy-in.</x:v>
      </x:c>
      <x:c r="Q225" s="19" t="str">
        <x:v>time to provider reduced 23 minutes; total OPD stay reduced 35 minutes</x:v>
      </x:c>
      <x:c r="R225" s="19" t="str">
        <x:v>Low-cost triage checklists can be embedded into paper charts and later digitized.</x:v>
      </x:c>
      <x:c r="S225" s="19" t="str">
        <x:v>medium</x:v>
      </x:c>
      <x:c r="T225" s="19" t="str">
        <x:v>02_extracted_evidence/cases_or_examples.csv</x:v>
      </x:c>
      <x:c r="U225" s="19" t="str">
        <x:v>research_evidence_package_health_system_patient_flows_2026-05-30.tar.gz::02_extracted_evidence/cases_or_examples.csv::C041</x:v>
      </x:c>
    </x:row>
    <x:row r="226">
      <x:c r="A226" s="19" t="str">
        <x:v>A_flows</x:v>
      </x:c>
      <x:c r="B226" s="19" t="str">
        <x:v>research_evidence_package_health_system_patient_flows_2026-05-30.tar.gz</x:v>
      </x:c>
      <x:c r="C226" s="19" t="str">
        <x:v>Research A / health-system patient flows</x:v>
      </x:c>
      <x:c r="D226" s="19" t="str">
        <x:v>case</x:v>
      </x:c>
      <x:c r="E226" s="19" t="str">
        <x:v>C042</x:v>
      </x:c>
      <x:c r="F226" s="19" t="str">
        <x:v>S43</x:v>
      </x:c>
      <x:c r="G226" s="19" t="str">
        <x:v>Brazil's Family Health Strategy: Using Community Health Workers to Provide Primary Care</x:v>
      </x:c>
      <x:c r="H226" s="19" t="str">
        <x:v>https://www.commonwealthfund.org/publications/case-study/2016/dec/brazils-family-health-strategy-using-community-health-care-workers</x:v>
      </x:c>
      <x:c r="I226" s="19" t="str">
        <x:v>Brazil</x:v>
      </x:c>
      <x:c r="J226" s="19" t="str">
        <x:v>home/community visit</x:v>
      </x:c>
      <x:c r="K226" s="19" t="str">
        <x:v>fragmented care; no one connected the dots; documentation error</x:v>
      </x:c>
      <x:c r="L226" s="19" t="str">
        <x:v>chronic disease, minor illness, social risk, preventive care</x:v>
      </x:c>
      <x:c r="M226" s="19" t="str">
        <x:v>fragmented care; no one connected the dots; documentation error</x:v>
      </x:c>
      <x:c r="N226" s="19" t="str">
        <x:v>Brazil's Family Health Strategy: Using Community Health Workers to Provide Primary Care</x:v>
      </x:c>
      <x:c r="O226" s="19" t="str">
        <x:v>CHWs provide home basic care, register families, relay information to teams, resolve low-level problems and refer complex problems.</x:v>
      </x:c>
      <x:c r="P226" s="19" t="str">
        <x:v>Identified: hidden needs and chronic disease adherence issues; missed: signals may be lost if CHW observations do not reach nurse/physician workflow.</x:v>
      </x:c>
      <x:c r="Q226" s="19" t="str">
        <x:v>longitudinal</x:v>
      </x:c>
      <x:c r="R226" s="19" t="str">
        <x:v>Create structured CHW observation fields and escalation pathways into primary-care team huddles.</x:v>
      </x:c>
      <x:c r="S226" s="19" t="str">
        <x:v>medium</x:v>
      </x:c>
      <x:c r="T226" s="19" t="str">
        <x:v>02_extracted_evidence/cases_or_examples.csv</x:v>
      </x:c>
      <x:c r="U226" s="19" t="str">
        <x:v>research_evidence_package_health_system_patient_flows_2026-05-30.tar.gz::02_extracted_evidence/cases_or_examples.csv::C042</x:v>
      </x:c>
    </x:row>
    <x:row r="227">
      <x:c r="A227" s="19" t="str">
        <x:v>A_flows</x:v>
      </x:c>
      <x:c r="B227" s="19" t="str">
        <x:v>research_evidence_package_health_system_patient_flows_2026-05-30.tar.gz</x:v>
      </x:c>
      <x:c r="C227" s="19" t="str">
        <x:v>Research A / health-system patient flows</x:v>
      </x:c>
      <x:c r="D227" s="19" t="str">
        <x:v>case</x:v>
      </x:c>
      <x:c r="E227" s="19" t="str">
        <x:v>C043</x:v>
      </x:c>
      <x:c r="F227" s="19" t="str">
        <x:v>S44</x:v>
      </x:c>
      <x:c r="G227" s="19" t="str">
        <x:v>HEARTS in the Americas: Hypertension Clinical Pathways</x:v>
      </x:c>
      <x:c r="H227" s="19" t="str">
        <x:v>https://www.paho.org/en/hearts-americas/hypertension-clinical-pathways</x:v>
      </x:c>
      <x:c r="I227" s="19" t="str">
        <x:v>Latin America / Caribbean</x:v>
      </x:c>
      <x:c r="J227" s="19" t="str">
        <x:v>community health center / primary care</x:v>
      </x:c>
      <x:c r="K227" s="19" t="str">
        <x:v>lab/vital trend missed; no follow-up ownership</x:v>
      </x:c>
      <x:c r="L227" s="19" t="str">
        <x:v>hypertension and cardiovascular risk; diabetes/CKD integration</x:v>
      </x:c>
      <x:c r="M227" s="19" t="str">
        <x:v>lab/vital trend missed; no follow-up ownership</x:v>
      </x:c>
      <x:c r="N227" s="19" t="str">
        <x:v>HEARTS in the Americas: Hypertension Clinical Pathways</x:v>
      </x:c>
      <x:c r="O227" s="19" t="str">
        <x:v>PAHO HEARTS clinical pathways standardize treatment protocols, proper BP measurement and cardiovascular risk assessment in PHC.</x:v>
      </x:c>
      <x:c r="P227" s="19" t="str">
        <x:v>Identified: hypertension and CVD risk; missed: poor BP technique, lack of treatment intensification or follow-up.</x:v>
      </x:c>
      <x:c r="Q227" s="19" t="str">
        <x:v>longitudinal</x:v>
      </x:c>
      <x:c r="R227" s="19" t="str">
        <x:v>Track BP measurement quality, risk category, protocol step, medication intensification and return date.</x:v>
      </x:c>
      <x:c r="S227" s="19" t="str">
        <x:v>high</x:v>
      </x:c>
      <x:c r="T227" s="19" t="str">
        <x:v>02_extracted_evidence/cases_or_examples.csv</x:v>
      </x:c>
      <x:c r="U227" s="19" t="str">
        <x:v>research_evidence_package_health_system_patient_flows_2026-05-30.tar.gz::02_extracted_evidence/cases_or_examples.csv::C043</x:v>
      </x:c>
    </x:row>
    <x:row r="228">
      <x:c r="A228" s="19" t="str">
        <x:v>A_flows</x:v>
      </x:c>
      <x:c r="B228" s="19" t="str">
        <x:v>research_evidence_package_health_system_patient_flows_2026-05-30.tar.gz</x:v>
      </x:c>
      <x:c r="C228" s="19" t="str">
        <x:v>Research A / health-system patient flows</x:v>
      </x:c>
      <x:c r="D228" s="19" t="str">
        <x:v>case</x:v>
      </x:c>
      <x:c r="E228" s="19" t="str">
        <x:v>C044</x:v>
      </x:c>
      <x:c r="F228" s="19" t="str">
        <x:v>S45</x:v>
      </x:c>
      <x:c r="G228" s="19" t="str">
        <x:v>Specific health checkup and specific health guidance</x:v>
      </x:c>
      <x:c r="H228" s="19" t="str">
        <x:v>https://www.shoken-kenpo.or.jp/eng/member/checkup/measure.html</x:v>
      </x:c>
      <x:c r="I228" s="19" t="str">
        <x:v>Japan</x:v>
      </x:c>
      <x:c r="J228" s="19" t="str">
        <x:v>public health screening</x:v>
      </x:c>
      <x:c r="K228" s="19" t="str">
        <x:v>no follow-up ownership; normal-test trap</x:v>
      </x:c>
      <x:c r="L228" s="19" t="str">
        <x:v>metabolic syndrome / lifestyle disease risk</x:v>
      </x:c>
      <x:c r="M228" s="19" t="str">
        <x:v>no follow-up ownership; normal-test trap</x:v>
      </x:c>
      <x:c r="N228" s="19" t="str">
        <x:v>Specific health checkup and specific health guidance</x:v>
      </x:c>
      <x:c r="O228" s="19" t="str">
        <x:v>Specific health checkups screen insured people/dependents age 40+; results stratify into information provision, motivational support or proactive support.</x:v>
      </x:c>
      <x:c r="P228" s="19" t="str">
        <x:v>Identified: metabolic risk; missed: people outside eligibility/attendance or follow-up lifestyle support.</x:v>
      </x:c>
      <x:c r="Q228" s="19" t="str">
        <x:v>annual screening; 3+ month guidance evaluation</x:v>
      </x:c>
      <x:c r="R228" s="19" t="str">
        <x:v>Link screening results to risk stratum, guidance plan, 3-month review and primary-care referral if needed.</x:v>
      </x:c>
      <x:c r="S228" s="19" t="str">
        <x:v>medium</x:v>
      </x:c>
      <x:c r="T228" s="19" t="str">
        <x:v>02_extracted_evidence/cases_or_examples.csv</x:v>
      </x:c>
      <x:c r="U228" s="19" t="str">
        <x:v>research_evidence_package_health_system_patient_flows_2026-05-30.tar.gz::02_extracted_evidence/cases_or_examples.csv::C044</x:v>
      </x:c>
    </x:row>
    <x:row r="229">
      <x:c r="A229" s="19" t="str">
        <x:v>A_flows</x:v>
      </x:c>
      <x:c r="B229" s="19" t="str">
        <x:v>research_evidence_package_health_system_patient_flows_2026-05-30.tar.gz</x:v>
      </x:c>
      <x:c r="C229" s="19" t="str">
        <x:v>Research A / health-system patient flows</x:v>
      </x:c>
      <x:c r="D229" s="19" t="str">
        <x:v>case</x:v>
      </x:c>
      <x:c r="E229" s="19" t="str">
        <x:v>C045</x:v>
      </x:c>
      <x:c r="F229" s="19" t="str">
        <x:v>S46</x:v>
      </x:c>
      <x:c r="G229" s="19" t="str">
        <x:v>National Health Screening Program</x:v>
      </x:c>
      <x:c r="H229" s="19" t="str">
        <x:v>https://www.nhis.or.kr/english/wbhe/policies/NationalHealthScreeningProgram.html</x:v>
      </x:c>
      <x:c r="I229" s="19" t="str">
        <x:v>South Korea</x:v>
      </x:c>
      <x:c r="J229" s="19" t="str">
        <x:v>public health screening</x:v>
      </x:c>
      <x:c r="K229" s="19" t="str">
        <x:v>abnormal result not followed up; no follow-up ownership</x:v>
      </x:c>
      <x:c r="L229" s="19" t="str">
        <x:v>general health risks and cancers</x:v>
      </x:c>
      <x:c r="M229" s="19" t="str">
        <x:v>abnormal result not followed up; no follow-up ownership</x:v>
      </x:c>
      <x:c r="N229" s="19" t="str">
        <x:v>National Health Screening Program</x:v>
      </x:c>
      <x:c r="O229" s="19" t="str">
        <x:v>Patient checks eligibility, visits authorized hospital with ID/checkup card, receives results by mail; suspected disease may receive confirmation checkup.</x:v>
      </x:c>
      <x:c r="P229" s="19" t="str">
        <x:v>Identified: screen-positive or suspected disease; missed: non-attendance, inaccurate results if pre-test instructions not followed, confirmation follow-up gap.</x:v>
      </x:c>
      <x:c r="Q229" s="19" t="str">
        <x:v>periodic national screening</x:v>
      </x:c>
      <x:c r="R229" s="19" t="str">
        <x:v>Use confirmation-test tracking and patient-language result explanations.</x:v>
      </x:c>
      <x:c r="S229" s="19" t="str">
        <x:v>medium</x:v>
      </x:c>
      <x:c r="T229" s="19" t="str">
        <x:v>02_extracted_evidence/cases_or_examples.csv</x:v>
      </x:c>
      <x:c r="U229" s="19" t="str">
        <x:v>research_evidence_package_health_system_patient_flows_2026-05-30.tar.gz::02_extracted_evidence/cases_or_examples.csv::C045</x:v>
      </x:c>
    </x:row>
    <x:row r="230">
      <x:c r="A230" s="19" t="str">
        <x:v>A_flows</x:v>
      </x:c>
      <x:c r="B230" s="19" t="str">
        <x:v>research_evidence_package_health_system_patient_flows_2026-05-30.tar.gz</x:v>
      </x:c>
      <x:c r="C230" s="19" t="str">
        <x:v>Research A / health-system patient flows</x:v>
      </x:c>
      <x:c r="D230" s="19" t="str">
        <x:v>case</x:v>
      </x:c>
      <x:c r="E230" s="19" t="str">
        <x:v>C046</x:v>
      </x:c>
      <x:c r="F230" s="19" t="str">
        <x:v>S47</x:v>
      </x:c>
      <x:c r="G230" s="19" t="str">
        <x:v>Danish Cancer Patient Pathways: three-legged strategy</x:v>
      </x:c>
      <x:c r="H230" s="19" t="str">
        <x:v>https://www.all-can.org/efficiency-hub/danish-cancer-patient-pathways-three-legged-strategy-for-faster-referral-and-diagnosis-of-cancer/</x:v>
      </x:c>
      <x:c r="I230" s="19" t="str">
        <x:v>Denmark</x:v>
      </x:c>
      <x:c r="J230" s="19" t="str">
        <x:v>primary care / specialist clinic</x:v>
      </x:c>
      <x:c r="K230" s="19" t="str">
        <x:v>rare disease delay; referral delay; no one connected the dots</x:v>
      </x:c>
      <x:c r="L230" s="19" t="str">
        <x:v>suspected cancer with alarm or nonspecific symptoms</x:v>
      </x:c>
      <x:c r="M230" s="19" t="str">
        <x:v>rare disease delay; referral delay; no one connected the dots</x:v>
      </x:c>
      <x:c r="N230" s="19" t="str">
        <x:v>Danish Cancer Patient Pathways: three-legged strategy</x:v>
      </x:c>
      <x:c r="O230" s="19" t="str">
        <x:v>Three-legged strategy: urgent alarm symptoms to organ-specific pathways; serious nonspecific symptoms to tests and diagnostic centres; vague low-risk symptoms managed by GP with diagnostic access.</x:v>
      </x:c>
      <x:c r="P230" s="19" t="str">
        <x:v>Identified: cancers without alarm symptoms; missed: vague symptoms if GP access to diagnostics is limited or safety-netting weak.</x:v>
      </x:c>
      <x:c r="Q230" s="19" t="str">
        <x:v>reported diagnosis wait reductions in case-study evidence</x:v>
      </x:c>
      <x:c r="R230" s="19" t="str">
        <x:v>Create nonspecific-symptom pathways with GP gut-feeling field, blood-panel bundle and diagnostic-centre referral.</x:v>
      </x:c>
      <x:c r="S230" s="19" t="str">
        <x:v>medium</x:v>
      </x:c>
      <x:c r="T230" s="19" t="str">
        <x:v>02_extracted_evidence/cases_or_examples.csv</x:v>
      </x:c>
      <x:c r="U230" s="19" t="str">
        <x:v>research_evidence_package_health_system_patient_flows_2026-05-30.tar.gz::02_extracted_evidence/cases_or_examples.csv::C046</x:v>
      </x:c>
    </x:row>
    <x:row r="231">
      <x:c r="A231" s="19" t="str">
        <x:v>A_flows</x:v>
      </x:c>
      <x:c r="B231" s="19" t="str">
        <x:v>research_evidence_package_health_system_patient_flows_2026-05-30.tar.gz</x:v>
      </x:c>
      <x:c r="C231" s="19" t="str">
        <x:v>Research A / health-system patient flows</x:v>
      </x:c>
      <x:c r="D231" s="19" t="str">
        <x:v>case</x:v>
      </x:c>
      <x:c r="E231" s="19" t="str">
        <x:v>C047</x:v>
      </x:c>
      <x:c r="F231" s="19" t="str">
        <x:v>S48</x:v>
      </x:c>
      <x:c r="G231" s="19" t="str">
        <x:v>Risk of cancer and serious disease in Danish patients with urgent referral for NSSC</x:v>
      </x:c>
      <x:c r="H231" s="19" t="str">
        <x:v>https://www.nature.com/articles/s41416-024-02620-y</x:v>
      </x:c>
      <x:c r="I231" s="19" t="str">
        <x:v>Denmark</x:v>
      </x:c>
      <x:c r="J231" s="19" t="str">
        <x:v>specialist clinic / diagnostic centre</x:v>
      </x:c>
      <x:c r="K231" s="19" t="str">
        <x:v>rare disease delay; referral delay; normal-test trap</x:v>
      </x:c>
      <x:c r="L231" s="19" t="str">
        <x:v>non-specific symptoms and signs of cancer</x:v>
      </x:c>
      <x:c r="M231" s="19" t="str">
        <x:v>rare disease delay; referral delay; normal-test trap</x:v>
      </x:c>
      <x:c r="N231" s="19" t="str">
        <x:v>Risk of cancer and serious disease in Danish patients with urgent referral for NSSC</x:v>
      </x:c>
      <x:c r="O231" s="19" t="str">
        <x:v>Cohort study of urgent referral to Denmark's non-organ-specific cancer pathway; around one fifth had cancer.</x:v>
      </x:c>
      <x:c r="P231" s="19" t="str">
        <x:v>Identified: substantial cancer prevalence among non-specific symptom referrals; missed: patients with serious symptoms outside pathway criteria.</x:v>
      </x:c>
      <x:c r="Q231" s="19" t="str">
        <x:v>2014-2021 cohort</x:v>
      </x:c>
      <x:c r="R231" s="19" t="str">
        <x:v>Support structured referral for uncertainty, not just classic red flags.</x:v>
      </x:c>
      <x:c r="S231" s="19" t="str">
        <x:v>high</x:v>
      </x:c>
      <x:c r="T231" s="19" t="str">
        <x:v>02_extracted_evidence/cases_or_examples.csv</x:v>
      </x:c>
      <x:c r="U231" s="19" t="str">
        <x:v>research_evidence_package_health_system_patient_flows_2026-05-30.tar.gz::02_extracted_evidence/cases_or_examples.csv::C047</x:v>
      </x:c>
    </x:row>
    <x:row r="232">
      <x:c r="A232" s="19" t="str">
        <x:v>A_flows</x:v>
      </x:c>
      <x:c r="B232" s="19" t="str">
        <x:v>research_evidence_package_health_system_patient_flows_2026-05-30.tar.gz</x:v>
      </x:c>
      <x:c r="C232" s="19" t="str">
        <x:v>Research A / health-system patient flows</x:v>
      </x:c>
      <x:c r="D232" s="19" t="str">
        <x:v>case</x:v>
      </x:c>
      <x:c r="E232" s="19" t="str">
        <x:v>C048</x:v>
      </x:c>
      <x:c r="F232" s="19" t="str">
        <x:v>S49</x:v>
      </x:c>
      <x:c r="G232" s="19" t="str">
        <x:v>Healthcare Israel</x:v>
      </x:c>
      <x:c r="H232" s="19" t="str">
        <x:v>https://www1.health.gov.il/en/landing-pages/healthcare-israel/healthcare-israel/</x:v>
      </x:c>
      <x:c r="I232" s="19" t="str">
        <x:v>Israel</x:v>
      </x:c>
      <x:c r="J232" s="19" t="str">
        <x:v>primary care</x:v>
      </x:c>
      <x:c r="K232" s="19" t="str">
        <x:v>lab trend missed; no one connected the dots</x:v>
      </x:c>
      <x:c r="L232" s="19" t="str">
        <x:v>broad primary-care and chronic disease</x:v>
      </x:c>
      <x:c r="M232" s="19" t="str">
        <x:v>lab trend missed; no one connected the dots</x:v>
      </x:c>
      <x:c r="N232" s="19" t="str">
        <x:v>Healthcare Israel</x:v>
      </x:c>
      <x:c r="O232" s="19" t="str">
        <x:v>Israel's HMO-based system begins with family doctor/community health centers and uses longstanding digital records/HIE to give clinicians historical data at point of care.</x:v>
      </x:c>
      <x:c r="P232" s="19" t="str">
        <x:v>Identified: strong longitudinal data infrastructure; missed: data availability does not guarantee synthesis of trends or patient narrative.</x:v>
      </x:c>
      <x:c r="Q232" s="19" t="str">
        <x:v>longitudinal</x:v>
      </x:c>
      <x:c r="R232" s="19" t="str">
        <x:v>Use longitudinal problem timelines and trend alerts, not just data access.</x:v>
      </x:c>
      <x:c r="S232" s="19" t="str">
        <x:v>medium</x:v>
      </x:c>
      <x:c r="T232" s="19" t="str">
        <x:v>02_extracted_evidence/cases_or_examples.csv</x:v>
      </x:c>
      <x:c r="U232" s="19" t="str">
        <x:v>research_evidence_package_health_system_patient_flows_2026-05-30.tar.gz::02_extracted_evidence/cases_or_examples.csv::C048</x:v>
      </x:c>
    </x:row>
    <x:row r="233">
      <x:c r="A233" s="19" t="str">
        <x:v>A_flows</x:v>
      </x:c>
      <x:c r="B233" s="19" t="str">
        <x:v>research_evidence_package_health_system_patient_flows_2026-05-30.tar.gz</x:v>
      </x:c>
      <x:c r="C233" s="19" t="str">
        <x:v>Research A / health-system patient flows</x:v>
      </x:c>
      <x:c r="D233" s="19" t="str">
        <x:v>case</x:v>
      </x:c>
      <x:c r="E233" s="19" t="str">
        <x:v>C049</x:v>
      </x:c>
      <x:c r="F233" s="19" t="str">
        <x:v>S50</x:v>
      </x:c>
      <x:c r="G233" s="19" t="str">
        <x:v>Maccabi Healthcare Services: Diagnostic Services</x:v>
      </x:c>
      <x:c r="H233" s="19" t="str">
        <x:v>https://www.maccabi4u.co.il/en/46562/main_english/our-healthcare-system/diagnostic-services/</x:v>
      </x:c>
      <x:c r="I233" s="19" t="str">
        <x:v>Israel</x:v>
      </x:c>
      <x:c r="J233" s="19" t="str">
        <x:v>hospital outpatient / diagnostic services</x:v>
      </x:c>
      <x:c r="K233" s="19" t="str">
        <x:v>abnormal result not followed up; no follow-up ownership</x:v>
      </x:c>
      <x:c r="L233" s="19" t="str">
        <x:v>conditions requiring lab/imaging/cardiac diagnostics</x:v>
      </x:c>
      <x:c r="M233" s="19" t="str">
        <x:v>abnormal result not followed up; no follow-up ownership</x:v>
      </x:c>
      <x:c r="N233" s="19" t="str">
        <x:v>Maccabi Healthcare Services: Diagnostic Services</x:v>
      </x:c>
      <x:c r="O233" s="19" t="str">
        <x:v>Diagnostic services are computerized from referral through collection/test and result delivery to physician and user stations; teleradiology centralizes interpretation for distant sites.</x:v>
      </x:c>
      <x:c r="P233" s="19" t="str">
        <x:v>Identified: lab/imaging workflow and result dissemination; missed: action on result still depends on clinician/patient follow-up loop.</x:v>
      </x:c>
      <x:c r="Q233" s="19" t="str">
        <x:v>varies</x:v>
      </x:c>
      <x:c r="R233" s="19" t="str">
        <x:v>Link diagnostic-result delivery to acknowledgment and documented clinical next step.</x:v>
      </x:c>
      <x:c r="S233" s="19" t="str">
        <x:v>medium</x:v>
      </x:c>
      <x:c r="T233" s="19" t="str">
        <x:v>02_extracted_evidence/cases_or_examples.csv</x:v>
      </x:c>
      <x:c r="U233" s="19" t="str">
        <x:v>research_evidence_package_health_system_patient_flows_2026-05-30.tar.gz::02_extracted_evidence/cases_or_examples.csv::C049</x:v>
      </x:c>
    </x:row>
    <x:row r="234">
      <x:c r="A234" s="19" t="str">
        <x:v>A_flows</x:v>
      </x:c>
      <x:c r="B234" s="19" t="str">
        <x:v>research_evidence_package_health_system_patient_flows_2026-05-30.tar.gz</x:v>
      </x:c>
      <x:c r="C234" s="19" t="str">
        <x:v>Research A / health-system patient flows</x:v>
      </x:c>
      <x:c r="D234" s="19" t="str">
        <x:v>case</x:v>
      </x:c>
      <x:c r="E234" s="19" t="str">
        <x:v>C050</x:v>
      </x:c>
      <x:c r="F234" s="19" t="str">
        <x:v>S52</x:v>
      </x:c>
      <x:c r="G234" s="19" t="str">
        <x:v>Data analysis reveals common errors that prevent patients from getting timely, accurate diagnoses</x:v>
      </x:c>
      <x:c r="H234" s="19" t="str">
        <x:v>https://home.ecri.org/blogs/ecri-news/data-analysis-reveals-common-errors-that-prevent-patients-from-getting-timely-accurate-diagnoses</x:v>
      </x:c>
      <x:c r="I234" s="19" t="str">
        <x:v>US</x:v>
      </x:c>
      <x:c r="J234" s="19" t="str">
        <x:v>cross-setting</x:v>
      </x:c>
      <x:c r="K234" s="19" t="str">
        <x:v>documentation error; poor handoff; abnormal result not followed up</x:v>
      </x:c>
      <x:c r="L234" s="19" t="str">
        <x:v>varied diagnostic errors</x:v>
      </x:c>
      <x:c r="M234" s="19" t="str">
        <x:v>documentation error; poor handoff; abnormal result not followed up</x:v>
      </x:c>
      <x:c r="N234" s="19" t="str">
        <x:v>Data analysis reveals common errors that prevent patients from getting timely, accurate diagnoses</x:v>
      </x:c>
      <x:c r="O234" s="19" t="str">
        <x:v>Analysis of &gt;3,000 diagnostic safety events found many errors in the testing process plus monitoring/follow-up and referral/consultation phases.</x:v>
      </x:c>
      <x:c r="P234" s="19" t="str">
        <x:v>Missed/delayed: diagnoses due to technical, administrative and communication failures.</x:v>
      </x:c>
      <x:c r="Q234" s="19" t="str">
        <x:v>varies</x:v>
      </x:c>
      <x:c r="R234" s="19" t="str">
        <x:v>Instrument handoffs: order-to-result, result-to-action, referral-to-appointment and missed-appointment loops.</x:v>
      </x:c>
      <x:c r="S234" s="19" t="str">
        <x:v>medium</x:v>
      </x:c>
      <x:c r="T234" s="19" t="str">
        <x:v>02_extracted_evidence/cases_or_examples.csv</x:v>
      </x:c>
      <x:c r="U234" s="19" t="str">
        <x:v>research_evidence_package_health_system_patient_flows_2026-05-30.tar.gz::02_extracted_evidence/cases_or_examples.csv::C050</x:v>
      </x:c>
    </x:row>
    <x:row r="235">
      <x:c r="A235" s="19" t="str">
        <x:v>A_flows</x:v>
      </x:c>
      <x:c r="B235" s="19" t="str">
        <x:v>research_evidence_package_health_system_patient_flows_2026-05-30.tar.gz</x:v>
      </x:c>
      <x:c r="C235" s="19" t="str">
        <x:v>Research A / health-system patient flows</x:v>
      </x:c>
      <x:c r="D235" s="19" t="str">
        <x:v>case</x:v>
      </x:c>
      <x:c r="E235" s="19" t="str">
        <x:v>C051</x:v>
      </x:c>
      <x:c r="F235" s="19" t="str">
        <x:v>S53</x:v>
      </x:c>
      <x:c r="G235" s="19" t="str">
        <x:v>Undiagnosed: When Your Rare Diagnosis Comes 30 Years Late</x:v>
      </x:c>
      <x:c r="H235" s="19" t="str">
        <x:v>https://rarediseases.org/undiagnosed-when-your-rare-diagnosis-comes-30-years-late/</x:v>
      </x:c>
      <x:c r="I235" s="19" t="str">
        <x:v>US</x:v>
      </x:c>
      <x:c r="J235" s="19" t="str">
        <x:v>specialist clinic / rare disease</x:v>
      </x:c>
      <x:c r="K235" s="19" t="str">
        <x:v>rare disease delay; patient self-advocacy required; no one connected the dots</x:v>
      </x:c>
      <x:c r="L235" s="19" t="str">
        <x:v>rare congenital/neurologic condition</x:v>
      </x:c>
      <x:c r="M235" s="19" t="str">
        <x:v>rare disease delay; patient self-advocacy required; no one connected the dots</x:v>
      </x:c>
      <x:c r="N235" s="19" t="str">
        <x:v>Undiagnosed: When Your Rare Diagnosis Comes 30 Years Late</x:v>
      </x:c>
      <x:c r="O235" s="19" t="str">
        <x:v>Patient story describes self-advocacy leading to specialist programme review and eventual rare diagnosis after decades.</x:v>
      </x:c>
      <x:c r="P235" s="19" t="str">
        <x:v>Missed/delayed: rare diagnosis across many earlier encounters.</x:v>
      </x:c>
      <x:c r="Q235" s="19" t="str">
        <x:v>about 30 years</x:v>
      </x:c>
      <x:c r="R235" s="19" t="str">
        <x:v>Give patients a longitudinal symptom/problem timeline they can share across systems.</x:v>
      </x:c>
      <x:c r="S235" s="19" t="str">
        <x:v>low</x:v>
      </x:c>
      <x:c r="T235" s="19" t="str">
        <x:v>02_extracted_evidence/cases_or_examples.csv</x:v>
      </x:c>
      <x:c r="U235" s="19" t="str">
        <x:v>research_evidence_package_health_system_patient_flows_2026-05-30.tar.gz::02_extracted_evidence/cases_or_examples.csv::C051</x:v>
      </x:c>
    </x:row>
    <x:row r="236">
      <x:c r="A236" s="19" t="str">
        <x:v>A_flows</x:v>
      </x:c>
      <x:c r="B236" s="19" t="str">
        <x:v>research_evidence_package_health_system_patient_flows_2026-05-30.tar.gz</x:v>
      </x:c>
      <x:c r="C236" s="19" t="str">
        <x:v>Research A / health-system patient flows</x:v>
      </x:c>
      <x:c r="D236" s="19" t="str">
        <x:v>case</x:v>
      </x:c>
      <x:c r="E236" s="19" t="str">
        <x:v>C052</x:v>
      </x:c>
      <x:c r="F236" s="19" t="str">
        <x:v>S54</x:v>
      </x:c>
      <x:c r="G236" s="19" t="str">
        <x:v>Living with CKD: diagnosis experiences</x:v>
      </x:c>
      <x:c r="H236" s="19" t="str">
        <x:v>https://kidneycareuk.org/kidney-disease-information/your-stories/ckd-diagnosis-experiences/</x:v>
      </x:c>
      <x:c r="I236" s="19" t="str">
        <x:v>UK</x:v>
      </x:c>
      <x:c r="J236" s="19" t="str">
        <x:v>primary care / chronic disease</x:v>
      </x:c>
      <x:c r="K236" s="19" t="str">
        <x:v>chronic illness invalidation; lab trend missed; documentation error</x:v>
      </x:c>
      <x:c r="L236" s="19" t="str">
        <x:v>chronic kidney disease</x:v>
      </x:c>
      <x:c r="M236" s="19" t="str">
        <x:v>chronic illness invalidation; lab trend missed; documentation error</x:v>
      </x:c>
      <x:c r="N236" s="19" t="str">
        <x:v>Living with CKD: diagnosis experiences</x:v>
      </x:c>
      <x:c r="O236" s="19" t="str">
        <x:v>Advocacy patient stories describe how CKD diagnosis experiences can involve communication problems, dismissed symptoms and records not seen.</x:v>
      </x:c>
      <x:c r="P236" s="19" t="str">
        <x:v>Missed/delayed: chronic disease recognition or patient understanding.</x:v>
      </x:c>
      <x:c r="Q236" s="19" t="str">
        <x:v>varies</x:v>
      </x:c>
      <x:c r="R236" s="19" t="str">
        <x:v>Pair lab trend alerts with patient-facing explanations and record visibility checks.</x:v>
      </x:c>
      <x:c r="S236" s="19" t="str">
        <x:v>low</x:v>
      </x:c>
      <x:c r="T236" s="19" t="str">
        <x:v>02_extracted_evidence/cases_or_examples.csv</x:v>
      </x:c>
      <x:c r="U236" s="19" t="str">
        <x:v>research_evidence_package_health_system_patient_flows_2026-05-30.tar.gz::02_extracted_evidence/cases_or_examples.csv::C052</x:v>
      </x:c>
    </x:row>
    <x:row r="237">
      <x:c r="A237" s="19" t="str">
        <x:v>A_flows</x:v>
      </x:c>
      <x:c r="B237" s="19" t="str">
        <x:v>research_evidence_package_health_system_patient_flows_2026-05-30.tar.gz</x:v>
      </x:c>
      <x:c r="C237" s="19" t="str">
        <x:v>Research A / health-system patient flows</x:v>
      </x:c>
      <x:c r="D237" s="19" t="str">
        <x:v>case</x:v>
      </x:c>
      <x:c r="E237" s="19" t="str">
        <x:v>C053</x:v>
      </x:c>
      <x:c r="F237" s="19" t="str">
        <x:v>S56</x:v>
      </x:c>
      <x:c r="G237" s="19" t="str">
        <x:v>Types and Origins of Diagnostic Errors in Primary Care Settings</x:v>
      </x:c>
      <x:c r="H237" s="19" t="str">
        <x:v>https://jamanetwork.com/journals/jamainternalmedicine/fullarticle/1656540</x:v>
      </x:c>
      <x:c r="I237" s="19" t="str">
        <x:v>US</x:v>
      </x:c>
      <x:c r="J237" s="19" t="str">
        <x:v>primary care</x:v>
      </x:c>
      <x:c r="K237" s="19" t="str">
        <x:v>incomplete history; physical exam missed; repeated visits ignored</x:v>
      </x:c>
      <x:c r="L237" s="19" t="str">
        <x:v>varied common diseases with potential harm</x:v>
      </x:c>
      <x:c r="M237" s="19" t="str">
        <x:v>incomplete history; physical exam missed; repeated visits ignored</x:v>
      </x:c>
      <x:c r="N237" s="19" t="str">
        <x:v>Types and Origins of Diagnostic Errors in Primary Care Settings</x:v>
      </x:c>
      <x:c r="O237" s="19" t="str">
        <x:v>Study identified primary-care diagnostic errors using EHR triggers such as unplanned hospitalization/return visits/ED visits after index primary-care encounter.</x:v>
      </x:c>
      <x:c r="P237" s="19" t="str">
        <x:v>Missed/delayed: common diseases; process breakdowns in patient-practitioner encounter, history, exam and workup ordering.</x:v>
      </x:c>
      <x:c r="Q237" s="19" t="str">
        <x:v>varies</x:v>
      </x:c>
      <x:c r="R237" s="19" t="str">
        <x:v>Use trigger tools to surface unplanned returns after recent visits and prompt diagnostic review.</x:v>
      </x:c>
      <x:c r="S237" s="19" t="str">
        <x:v>high</x:v>
      </x:c>
      <x:c r="T237" s="19" t="str">
        <x:v>02_extracted_evidence/cases_or_examples.csv</x:v>
      </x:c>
      <x:c r="U237" s="19" t="str">
        <x:v>research_evidence_package_health_system_patient_flows_2026-05-30.tar.gz::02_extracted_evidence/cases_or_examples.csv::C053</x:v>
      </x:c>
    </x:row>
    <x:row r="238">
      <x:c r="A238" s="19" t="str">
        <x:v>A_flows</x:v>
      </x:c>
      <x:c r="B238" s="19" t="str">
        <x:v>research_evidence_package_health_system_patient_flows_2026-05-30.tar.gz</x:v>
      </x:c>
      <x:c r="C238" s="19" t="str">
        <x:v>Research A / health-system patient flows</x:v>
      </x:c>
      <x:c r="D238" s="19" t="str">
        <x:v>quote</x:v>
      </x:c>
      <x:c r="E238" s="19" t="str">
        <x:v>Q001</x:v>
      </x:c>
      <x:c r="F238" s="19" t="str">
        <x:v>S20</x:v>
      </x:c>
      <x:c r="G238" s="19" t="str">
        <x:v>Continuity of care: delayed diagnosis in GP practices</x:v>
      </x:c>
      <x:c r="H238" s="19" t="str">
        <x:v>https://www.hssib.org.uk/patient-safety-investigations/continuity-of-care-delayed-diagnosis-in-gp-practices/investigation-report/pdf/</x:v>
      </x:c>
      <x:c r="I238" s="19" t="str">
        <x:v>England</x:v>
      </x:c>
      <x:c r="J238" s="19" t="str">
        <x:v>primary care</x:v>
      </x:c>
      <x:c r="K238" s="19" t="str">
        <x:v>fragmented care; no one connected the dots; missing family/history context; repeated visits ignored</x:v>
      </x:c>
      <x:c r="L238" s="19" t="str"/>
      <x:c r="M238" s="19" t="str">
        <x:v>fragmented care; no one connected the dots; missing family/history context; repeated visits ignored</x:v>
      </x:c>
      <x:c r="N238" s="19" t="str">
        <x:v>“no-one else should have to go through what I did”</x:v>
      </x:c>
      <x:c r="O238" s="19" t="str">
        <x:v>Surface unresolved symptom threads, prior high-risk history and multiple-clinician patterns in the EHR.</x:v>
      </x:c>
      <x:c r="P238" s="19" t="str"/>
      <x:c r="Q238" s="19" t="str"/>
      <x:c r="R238" s="19" t="str"/>
      <x:c r="S238" s="19" t="str">
        <x:v>high</x:v>
      </x:c>
      <x:c r="T238" s="19" t="str">
        <x:v>02_extracted_evidence/quotes.csv</x:v>
      </x:c>
      <x:c r="U238" s="19" t="str">
        <x:v>research_evidence_package_health_system_patient_flows_2026-05-30.tar.gz::02_extracted_evidence/quotes.csv::Q001</x:v>
      </x:c>
    </x:row>
    <x:row r="239">
      <x:c r="A239" s="19" t="str">
        <x:v>A_flows</x:v>
      </x:c>
      <x:c r="B239" s="19" t="str">
        <x:v>research_evidence_package_health_system_patient_flows_2026-05-30.tar.gz</x:v>
      </x:c>
      <x:c r="C239" s="19" t="str">
        <x:v>Research A / health-system patient flows</x:v>
      </x:c>
      <x:c r="D239" s="19" t="str">
        <x:v>quote</x:v>
      </x:c>
      <x:c r="E239" s="19" t="str">
        <x:v>Q002</x:v>
      </x:c>
      <x:c r="F239" s="19" t="str">
        <x:v>S22</x:v>
      </x:c>
      <x:c r="G239" s="19" t="str">
        <x:v>Years of being dismissed, ignored and belittled: Endometriosis UK diagnosis report</x:v>
      </x:c>
      <x:c r="H239" s="19" t="str">
        <x:v>https://www.endometriosis-uk.org/diagnosis-report</x:v>
      </x:c>
      <x:c r="I239" s="19" t="str">
        <x:v>UK</x:v>
      </x:c>
      <x:c r="J239" s="19" t="str">
        <x:v>primary care</x:v>
      </x:c>
      <x:c r="K239" s="19" t="str">
        <x:v>symptom dismissed; chronic illness invalidation; bias or minimization; patient self-advocacy required</x:v>
      </x:c>
      <x:c r="L239" s="19" t="str"/>
      <x:c r="M239" s="19" t="str">
        <x:v>symptom dismissed; chronic illness invalidation; bias or minimization; patient self-advocacy required</x:v>
      </x:c>
      <x:c r="N239" s="19" t="str">
        <x:v>“I was constantly dismissed, ignored and belittled”</x:v>
      </x:c>
      <x:c r="O239" s="19" t="str">
        <x:v>Track symptom duration/severity, repeated visits and invalidating language; prompt specialist referral criteria review.</x:v>
      </x:c>
      <x:c r="P239" s="19" t="str"/>
      <x:c r="Q239" s="19" t="str"/>
      <x:c r="R239" s="19" t="str"/>
      <x:c r="S239" s="19" t="str">
        <x:v>medium</x:v>
      </x:c>
      <x:c r="T239" s="19" t="str">
        <x:v>02_extracted_evidence/quotes.csv</x:v>
      </x:c>
      <x:c r="U239" s="19" t="str">
        <x:v>research_evidence_package_health_system_patient_flows_2026-05-30.tar.gz::02_extracted_evidence/quotes.csv::Q002</x:v>
      </x:c>
    </x:row>
    <x:row r="240">
      <x:c r="A240" s="19" t="str">
        <x:v>A_flows</x:v>
      </x:c>
      <x:c r="B240" s="19" t="str">
        <x:v>research_evidence_package_health_system_patient_flows_2026-05-30.tar.gz</x:v>
      </x:c>
      <x:c r="C240" s="19" t="str">
        <x:v>Research A / health-system patient flows</x:v>
      </x:c>
      <x:c r="D240" s="19" t="str">
        <x:v>quote</x:v>
      </x:c>
      <x:c r="E240" s="19" t="str">
        <x:v>Q003</x:v>
      </x:c>
      <x:c r="F240" s="19" t="str">
        <x:v>S23</x:v>
      </x:c>
      <x:c r="G240" s="19" t="str">
        <x:v>The impact of waiting for care</x:v>
      </x:c>
      <x:c r="H240" s="19" t="str">
        <x:v>https://www.healthwatch.co.uk/report/2023-10-03/impact-waiting-care</x:v>
      </x:c>
      <x:c r="I240" s="19" t="str">
        <x:v>England</x:v>
      </x:c>
      <x:c r="J240" s="19" t="str">
        <x:v>primary care / specialist referral</x:v>
      </x:c>
      <x:c r="K240" s="19" t="str">
        <x:v>referral delay; no follow-up ownership; patient self-advocacy required</x:v>
      </x:c>
      <x:c r="L240" s="19" t="str"/>
      <x:c r="M240" s="19" t="str">
        <x:v>referral delay; no follow-up ownership; patient self-advocacy required</x:v>
      </x:c>
      <x:c r="N240" s="19" t="str">
        <x:v>“severe pain, immobile and very frustrated”</x:v>
      </x:c>
      <x:c r="O240" s="19" t="str">
        <x:v>Track referral state, wait risk, abnormal-test escalation and patient-visible next step.</x:v>
      </x:c>
      <x:c r="P240" s="19" t="str"/>
      <x:c r="Q240" s="19" t="str"/>
      <x:c r="R240" s="19" t="str"/>
      <x:c r="S240" s="19" t="str">
        <x:v>medium</x:v>
      </x:c>
      <x:c r="T240" s="19" t="str">
        <x:v>02_extracted_evidence/quotes.csv</x:v>
      </x:c>
      <x:c r="U240" s="19" t="str">
        <x:v>research_evidence_package_health_system_patient_flows_2026-05-30.tar.gz::02_extracted_evidence/quotes.csv::Q003</x:v>
      </x:c>
    </x:row>
    <x:row r="241">
      <x:c r="A241" s="19" t="str">
        <x:v>A_flows</x:v>
      </x:c>
      <x:c r="B241" s="19" t="str">
        <x:v>research_evidence_package_health_system_patient_flows_2026-05-30.tar.gz</x:v>
      </x:c>
      <x:c r="C241" s="19" t="str">
        <x:v>Research A / health-system patient flows</x:v>
      </x:c>
      <x:c r="D241" s="19" t="str">
        <x:v>quote</x:v>
      </x:c>
      <x:c r="E241" s="19" t="str">
        <x:v>Q004</x:v>
      </x:c>
      <x:c r="F241" s="19" t="str">
        <x:v>S24</x:v>
      </x:c>
      <x:c r="G241" s="19" t="str">
        <x:v>Patients being harmed due to repeated mistakes in reading scans</x:v>
      </x:c>
      <x:c r="H241" s="19" t="str">
        <x:v>https://www.ombudsman.org.uk/news-and-blog/news/patients-being-harmed-due-repeated-mistakes-reading-scans</x:v>
      </x:c>
      <x:c r="I241" s="19" t="str">
        <x:v>England</x:v>
      </x:c>
      <x:c r="J241" s="19" t="str">
        <x:v>hospital outpatient / imaging / ED</x:v>
      </x:c>
      <x:c r="K241" s="19" t="str">
        <x:v>abnormal result not followed up; red flag missed; repeated visits ignored</x:v>
      </x:c>
      <x:c r="L241" s="19" t="str"/>
      <x:c r="M241" s="19" t="str">
        <x:v>abnormal result not followed up; red flag missed; repeated visits ignored</x:v>
      </x:c>
      <x:c r="N241" s="19" t="str">
        <x:v>“I really tried to get the doctors to listen”</x:v>
      </x:c>
      <x:c r="O241" s="19" t="str">
        <x:v>Closed-loop imaging: critical finding acknowledgment, patient notification and escalation if no action documented.</x:v>
      </x:c>
      <x:c r="P241" s="19" t="str"/>
      <x:c r="Q241" s="19" t="str"/>
      <x:c r="R241" s="19" t="str"/>
      <x:c r="S241" s="19" t="str">
        <x:v>high</x:v>
      </x:c>
      <x:c r="T241" s="19" t="str">
        <x:v>02_extracted_evidence/quotes.csv</x:v>
      </x:c>
      <x:c r="U241" s="19" t="str">
        <x:v>research_evidence_package_health_system_patient_flows_2026-05-30.tar.gz::02_extracted_evidence/quotes.csv::Q004</x:v>
      </x:c>
    </x:row>
    <x:row r="242">
      <x:c r="A242" s="19" t="str">
        <x:v>A_flows</x:v>
      </x:c>
      <x:c r="B242" s="19" t="str">
        <x:v>research_evidence_package_health_system_patient_flows_2026-05-30.tar.gz</x:v>
      </x:c>
      <x:c r="C242" s="19" t="str">
        <x:v>Research A / health-system patient flows</x:v>
      </x:c>
      <x:c r="D242" s="19" t="str">
        <x:v>quote</x:v>
      </x:c>
      <x:c r="E242" s="19" t="str">
        <x:v>Q005</x:v>
      </x:c>
      <x:c r="F242" s="19" t="str">
        <x:v>S29</x:v>
      </x:c>
      <x:c r="G242" s="19" t="str">
        <x:v>Outpatient recovery and transformation improvement guide</x:v>
      </x:c>
      <x:c r="H242" s="19" t="str">
        <x:v>https://www.england.nhs.uk/long-read/outpatient-recovery-and-transformation-improvement-guide/</x:v>
      </x:c>
      <x:c r="I242" s="19" t="str">
        <x:v>England</x:v>
      </x:c>
      <x:c r="J242" s="19" t="str">
        <x:v>hospital outpatient / specialist clinic</x:v>
      </x:c>
      <x:c r="K242" s="19" t="str">
        <x:v>referral delay; no follow-up ownership; normal-test trap</x:v>
      </x:c>
      <x:c r="L242" s="19" t="str"/>
      <x:c r="M242" s="19" t="str">
        <x:v>referral delay; no follow-up ownership; normal-test trap</x:v>
      </x:c>
      <x:c r="N242" s="19" t="str">
        <x:v>“discuss with” rather than “refer to”</x:v>
      </x:c>
      <x:c r="O242" s="19" t="str">
        <x:v>Record advice decisions with safety-net tasks and escalation criteria.</x:v>
      </x:c>
      <x:c r="P242" s="19" t="str"/>
      <x:c r="Q242" s="19" t="str"/>
      <x:c r="R242" s="19" t="str"/>
      <x:c r="S242" s="19" t="str">
        <x:v>medium</x:v>
      </x:c>
      <x:c r="T242" s="19" t="str">
        <x:v>02_extracted_evidence/quotes.csv</x:v>
      </x:c>
      <x:c r="U242" s="19" t="str">
        <x:v>research_evidence_package_health_system_patient_flows_2026-05-30.tar.gz::02_extracted_evidence/quotes.csv::Q005</x:v>
      </x:c>
    </x:row>
    <x:row r="243">
      <x:c r="A243" s="19" t="str">
        <x:v>A_flows</x:v>
      </x:c>
      <x:c r="B243" s="19" t="str">
        <x:v>research_evidence_package_health_system_patient_flows_2026-05-30.tar.gz</x:v>
      </x:c>
      <x:c r="C243" s="19" t="str">
        <x:v>Research A / health-system patient flows</x:v>
      </x:c>
      <x:c r="D243" s="19" t="str">
        <x:v>review_or_complaint</x:v>
      </x:c>
      <x:c r="E243" s="19" t="str">
        <x:v>R001</x:v>
      </x:c>
      <x:c r="F243" s="19" t="str">
        <x:v>S02</x:v>
      </x:c>
      <x:c r="G243" s="19" t="str">
        <x:v>Diagnostic Errors in the Emergency Department: A Systematic Review</x:v>
      </x:c>
      <x:c r="H243" s="19" t="str">
        <x:v>https://www.ncbi.nlm.nih.gov/books/NBK588197/</x:v>
      </x:c>
      <x:c r="I243" s="19" t="str">
        <x:v>US-focused evidence</x:v>
      </x:c>
      <x:c r="J243" s="19" t="str">
        <x:v>emergency department</x:v>
      </x:c>
      <x:c r="K243" s="19" t="str">
        <x:v>first clinician assessment; imaging/lab interpretation; discharge</x:v>
      </x:c>
      <x:c r="L243" s="19" t="str"/>
      <x:c r="M243" s="19" t="str">
        <x:v>diagnostic/process complaint</x:v>
      </x:c>
      <x:c r="N243" s="19" t="str"/>
      <x:c r="O243" s="19" t="str">
        <x:v>Public complaint/experience source about stroke, MI, aortic dissection, VTE, meningitis/encephalitis, sepsis, spinal cord injury/compression, lung cancer</x:v>
      </x:c>
      <x:c r="P243" s="19" t="str">
        <x:v>Missed/delayed: serious ED diagnoses, especially vascular, neurologic, infection and cancer presentations.</x:v>
      </x:c>
      <x:c r="Q243" s="19" t="str"/>
      <x:c r="R243" s="19" t="str">
        <x:v>Flag high-harm conditions linked to symptom clusters and require explicit exclusion/safety-netting before discharge.</x:v>
      </x:c>
      <x:c r="S243" s="19" t="str">
        <x:v>high</x:v>
      </x:c>
      <x:c r="T243" s="19" t="str">
        <x:v>02_extracted_evidence/reviews_or_complaints.csv</x:v>
      </x:c>
      <x:c r="U243" s="19" t="str">
        <x:v>research_evidence_package_health_system_patient_flows_2026-05-30.tar.gz::02_extracted_evidence/reviews_or_complaints.csv::R001</x:v>
      </x:c>
    </x:row>
    <x:row r="244">
      <x:c r="A244" s="19" t="str">
        <x:v>A_flows</x:v>
      </x:c>
      <x:c r="B244" s="19" t="str">
        <x:v>research_evidence_package_health_system_patient_flows_2026-05-30.tar.gz</x:v>
      </x:c>
      <x:c r="C244" s="19" t="str">
        <x:v>Research A / health-system patient flows</x:v>
      </x:c>
      <x:c r="D244" s="19" t="str">
        <x:v>review_or_complaint</x:v>
      </x:c>
      <x:c r="E244" s="19" t="str">
        <x:v>R002</x:v>
      </x:c>
      <x:c r="F244" s="19" t="str">
        <x:v>S22</x:v>
      </x:c>
      <x:c r="G244" s="19" t="str">
        <x:v>Years of being dismissed, ignored and belittled: Endometriosis UK diagnosis report</x:v>
      </x:c>
      <x:c r="H244" s="19" t="str">
        <x:v>https://www.endometriosis-uk.org/diagnosis-report</x:v>
      </x:c>
      <x:c r="I244" s="19" t="str">
        <x:v>UK</x:v>
      </x:c>
      <x:c r="J244" s="19" t="str">
        <x:v>primary care</x:v>
      </x:c>
      <x:c r="K244" s="19" t="str">
        <x:v>medical history; referral; specialist review; repeat visit</x:v>
      </x:c>
      <x:c r="L244" s="19" t="str"/>
      <x:c r="M244" s="19" t="str">
        <x:v>diagnostic/process complaint</x:v>
      </x:c>
      <x:c r="N244" s="19" t="str">
        <x:v>“I was constantly dismissed, ignored and belittled”</x:v>
      </x:c>
      <x:c r="O244" s="19" t="str">
        <x:v>Public complaint/experience source about endometriosis</x:v>
      </x:c>
      <x:c r="P244" s="19" t="str">
        <x:v>Missed/delayed: endometriosis diagnosis; patients often required repeated self-advocacy.</x:v>
      </x:c>
      <x:c r="Q244" s="19" t="str"/>
      <x:c r="R244" s="19" t="str">
        <x:v>Track symptom duration/severity, repeated visits and invalidating language; prompt specialist referral criteria review.</x:v>
      </x:c>
      <x:c r="S244" s="19" t="str">
        <x:v>medium</x:v>
      </x:c>
      <x:c r="T244" s="19" t="str">
        <x:v>02_extracted_evidence/reviews_or_complaints.csv</x:v>
      </x:c>
      <x:c r="U244" s="19" t="str">
        <x:v>research_evidence_package_health_system_patient_flows_2026-05-30.tar.gz::02_extracted_evidence/reviews_or_complaints.csv::R002</x:v>
      </x:c>
    </x:row>
    <x:row r="245">
      <x:c r="A245" s="19" t="str">
        <x:v>A_flows</x:v>
      </x:c>
      <x:c r="B245" s="19" t="str">
        <x:v>research_evidence_package_health_system_patient_flows_2026-05-30.tar.gz</x:v>
      </x:c>
      <x:c r="C245" s="19" t="str">
        <x:v>Research A / health-system patient flows</x:v>
      </x:c>
      <x:c r="D245" s="19" t="str">
        <x:v>review_or_complaint</x:v>
      </x:c>
      <x:c r="E245" s="19" t="str">
        <x:v>R003</x:v>
      </x:c>
      <x:c r="F245" s="19" t="str">
        <x:v>S24</x:v>
      </x:c>
      <x:c r="G245" s="19" t="str">
        <x:v>Patients being harmed due to repeated mistakes in reading scans</x:v>
      </x:c>
      <x:c r="H245" s="19" t="str">
        <x:v>https://www.ombudsman.org.uk/news-and-blog/news/patients-being-harmed-due-repeated-mistakes-reading-scans</x:v>
      </x:c>
      <x:c r="I245" s="19" t="str">
        <x:v>England</x:v>
      </x:c>
      <x:c r="J245" s="19" t="str">
        <x:v>hospital outpatient / imaging / ED</x:v>
      </x:c>
      <x:c r="K245" s="19" t="str">
        <x:v>imaging ordered; lab interpretation; follow-up; emergency return</x:v>
      </x:c>
      <x:c r="L245" s="19" t="str"/>
      <x:c r="M245" s="19" t="str">
        <x:v>diagnostic/process complaint</x:v>
      </x:c>
      <x:c r="N245" s="19" t="str">
        <x:v>“I really tried to get the doctors to listen”</x:v>
      </x:c>
      <x:c r="O245" s="19" t="str">
        <x:v>Public complaint/experience source about cancer and other scan-detectable conditions</x:v>
      </x:c>
      <x:c r="P245" s="19" t="str">
        <x:v>Missed/delayed: abnormal scan findings and cancer diagnosis.</x:v>
      </x:c>
      <x:c r="Q245" s="19" t="str"/>
      <x:c r="R245" s="19" t="str">
        <x:v>Closed-loop imaging: critical finding acknowledgment, patient notification and escalation if no action documented.</x:v>
      </x:c>
      <x:c r="S245" s="19" t="str">
        <x:v>high</x:v>
      </x:c>
      <x:c r="T245" s="19" t="str">
        <x:v>02_extracted_evidence/reviews_or_complaints.csv</x:v>
      </x:c>
      <x:c r="U245" s="19" t="str">
        <x:v>research_evidence_package_health_system_patient_flows_2026-05-30.tar.gz::02_extracted_evidence/reviews_or_complaints.csv::R003</x:v>
      </x:c>
    </x:row>
    <x:row r="246">
      <x:c r="A246" s="19" t="str">
        <x:v>A_flows</x:v>
      </x:c>
      <x:c r="B246" s="19" t="str">
        <x:v>research_evidence_package_health_system_patient_flows_2026-05-30.tar.gz</x:v>
      </x:c>
      <x:c r="C246" s="19" t="str">
        <x:v>Research A / health-system patient flows</x:v>
      </x:c>
      <x:c r="D246" s="19" t="str">
        <x:v>review_or_complaint</x:v>
      </x:c>
      <x:c r="E246" s="19" t="str">
        <x:v>R004</x:v>
      </x:c>
      <x:c r="F246" s="19" t="str">
        <x:v>S32</x:v>
      </x:c>
      <x:c r="G246" s="19" t="str">
        <x:v>Reach and effectiveness of a centralized navigation program for patients with positive FITs</x:v>
      </x:c>
      <x:c r="H246" s="19" t="str">
        <x:v>https://www.sciencedirect.com/science/article/pii/S221133552300102X</x:v>
      </x:c>
      <x:c r="I246" s="19" t="str">
        <x:v>US: North Carolina</x:v>
      </x:c>
      <x:c r="J246" s="19" t="str">
        <x:v>community health center / public health screening</x:v>
      </x:c>
      <x:c r="K246" s="19" t="str">
        <x:v>public health screening; lab interpretation; referral; follow-up</x:v>
      </x:c>
      <x:c r="L246" s="19" t="str"/>
      <x:c r="M246" s="19" t="str">
        <x:v>diagnostic/process complaint</x:v>
      </x:c>
      <x:c r="N246" s="19" t="str"/>
      <x:c r="O246" s="19" t="str">
        <x:v>Public complaint/experience source about colorectal cancer risk after abnormal FIT</x:v>
      </x:c>
      <x:c r="P246" s="19" t="str">
        <x:v>Identified: abnormal FIT needing colonoscopy; missed: patients not reached or declining navigation remain at risk.</x:v>
      </x:c>
      <x:c r="Q246" s="19" t="str"/>
      <x:c r="R246" s="19" t="str">
        <x:v>Track abnormal-screen closure and navigator barrier categories to completion.</x:v>
      </x:c>
      <x:c r="S246" s="19" t="str">
        <x:v>medium</x:v>
      </x:c>
      <x:c r="T246" s="19" t="str">
        <x:v>02_extracted_evidence/reviews_or_complaints.csv</x:v>
      </x:c>
      <x:c r="U246" s="19" t="str">
        <x:v>research_evidence_package_health_system_patient_flows_2026-05-30.tar.gz::02_extracted_evidence/reviews_or_complaints.csv::R004</x:v>
      </x:c>
    </x:row>
    <x:row r="247">
      <x:c r="A247" s="19" t="str">
        <x:v>A_flows</x:v>
      </x:c>
      <x:c r="B247" s="19" t="str">
        <x:v>research_evidence_package_health_system_patient_flows_2026-05-30.tar.gz</x:v>
      </x:c>
      <x:c r="C247" s="19" t="str">
        <x:v>Research A / health-system patient flows</x:v>
      </x:c>
      <x:c r="D247" s="19" t="str">
        <x:v>review_or_complaint</x:v>
      </x:c>
      <x:c r="E247" s="19" t="str">
        <x:v>R005</x:v>
      </x:c>
      <x:c r="F247" s="19" t="str">
        <x:v>S33</x:v>
      </x:c>
      <x:c r="G247" s="19" t="str">
        <x:v>Implementing a successful patient navigation program for follow-up colonoscopy after abnormal FIT</x:v>
      </x:c>
      <x:c r="H247" s="19" t="str">
        <x:v>https://journals.plos.org/plosone/article?id=10.1371/journal.pone.0343659</x:v>
      </x:c>
      <x:c r="I247" s="19" t="str">
        <x:v>US: Washington state</x:v>
      </x:c>
      <x:c r="J247" s="19" t="str">
        <x:v>community health center / screening</x:v>
      </x:c>
      <x:c r="K247" s="19" t="str">
        <x:v>public health screening; referral; follow-up</x:v>
      </x:c>
      <x:c r="L247" s="19" t="str"/>
      <x:c r="M247" s="19" t="str">
        <x:v>diagnostic/process complaint</x:v>
      </x:c>
      <x:c r="N247" s="19" t="str"/>
      <x:c r="O247" s="19" t="str">
        <x:v>Public complaint/experience source about abnormal FIT requiring colonoscopy</x:v>
      </x:c>
      <x:c r="P247" s="19" t="str">
        <x:v>Identified: implementation barriers to closing abnormal FIT follow-up.</x:v>
      </x:c>
      <x:c r="Q247" s="19" t="str"/>
      <x:c r="R247" s="19" t="str">
        <x:v>Build navigator work queues, cross-organization data sharing and colonoscopy-status reconciliation.</x:v>
      </x:c>
      <x:c r="S247" s="19" t="str">
        <x:v>medium</x:v>
      </x:c>
      <x:c r="T247" s="19" t="str">
        <x:v>02_extracted_evidence/reviews_or_complaints.csv</x:v>
      </x:c>
      <x:c r="U247" s="19" t="str">
        <x:v>research_evidence_package_health_system_patient_flows_2026-05-30.tar.gz::02_extracted_evidence/reviews_or_complaints.csv::R005</x:v>
      </x:c>
    </x:row>
    <x:row r="248">
      <x:c r="A248" s="19" t="str">
        <x:v>A_flows</x:v>
      </x:c>
      <x:c r="B248" s="19" t="str">
        <x:v>research_evidence_package_health_system_patient_flows_2026-05-30.tar.gz</x:v>
      </x:c>
      <x:c r="C248" s="19" t="str">
        <x:v>Research A / health-system patient flows</x:v>
      </x:c>
      <x:c r="D248" s="19" t="str">
        <x:v>review_or_complaint</x:v>
      </x:c>
      <x:c r="E248" s="19" t="str">
        <x:v>R006</x:v>
      </x:c>
      <x:c r="F248" s="19" t="str">
        <x:v>S42</x:v>
      </x:c>
      <x:c r="G248" s="19" t="str">
        <x:v>Effectiveness of a structured triage system in a resource-limited rural hospital in Uganda</x:v>
      </x:c>
      <x:c r="H248" s="19" t="str">
        <x:v>https://link.springer.com/article/10.1186/s12245-025-01005-z</x:v>
      </x:c>
      <x:c r="I248" s="19" t="str">
        <x:v>Uganda</x:v>
      </x:c>
      <x:c r="J248" s="19" t="str">
        <x:v>rural clinic</x:v>
      </x:c>
      <x:c r="K248" s="19" t="str">
        <x:v>arrival; nurse triage; vitals; first clinician assessment</x:v>
      </x:c>
      <x:c r="L248" s="19" t="str"/>
      <x:c r="M248" s="19" t="str">
        <x:v>diagnostic/process complaint</x:v>
      </x:c>
      <x:c r="N248" s="19" t="str"/>
      <x:c r="O248" s="19" t="str">
        <x:v>Public complaint/experience source about urgent/emergency cases among general OPD patients</x:v>
      </x:c>
      <x:c r="P248" s="19" t="str">
        <x:v>Identified: urgent/emergency cases earlier; missed: undertriage still possible and formal triage requires staff buy-in.</x:v>
      </x:c>
      <x:c r="Q248" s="19" t="str"/>
      <x:c r="R248" s="19" t="str">
        <x:v>Low-cost triage checklists can be embedded into paper charts and later digitized.</x:v>
      </x:c>
      <x:c r="S248" s="19" t="str">
        <x:v>medium</x:v>
      </x:c>
      <x:c r="T248" s="19" t="str">
        <x:v>02_extracted_evidence/reviews_or_complaints.csv</x:v>
      </x:c>
      <x:c r="U248" s="19" t="str">
        <x:v>research_evidence_package_health_system_patient_flows_2026-05-30.tar.gz::02_extracted_evidence/reviews_or_complaints.csv::R006</x:v>
      </x:c>
    </x:row>
    <x:row r="249">
      <x:c r="A249" s="19" t="str">
        <x:v>A_flows</x:v>
      </x:c>
      <x:c r="B249" s="19" t="str">
        <x:v>research_evidence_package_health_system_patient_flows_2026-05-30.tar.gz</x:v>
      </x:c>
      <x:c r="C249" s="19" t="str">
        <x:v>Research A / health-system patient flows</x:v>
      </x:c>
      <x:c r="D249" s="19" t="str">
        <x:v>review_or_complaint</x:v>
      </x:c>
      <x:c r="E249" s="19" t="str">
        <x:v>R007</x:v>
      </x:c>
      <x:c r="F249" s="19" t="str">
        <x:v>S48</x:v>
      </x:c>
      <x:c r="G249" s="19" t="str">
        <x:v>Risk of cancer and serious disease in Danish patients with urgent referral for NSSC</x:v>
      </x:c>
      <x:c r="H249" s="19" t="str">
        <x:v>https://www.nature.com/articles/s41416-024-02620-y</x:v>
      </x:c>
      <x:c r="I249" s="19" t="str">
        <x:v>Denmark</x:v>
      </x:c>
      <x:c r="J249" s="19" t="str">
        <x:v>specialist clinic / diagnostic centre</x:v>
      </x:c>
      <x:c r="K249" s="19" t="str">
        <x:v>referral; specialist review; labs/imaging ordered</x:v>
      </x:c>
      <x:c r="L249" s="19" t="str"/>
      <x:c r="M249" s="19" t="str">
        <x:v>diagnostic/process complaint</x:v>
      </x:c>
      <x:c r="N249" s="19" t="str"/>
      <x:c r="O249" s="19" t="str">
        <x:v>Public complaint/experience source about non-specific symptoms and signs of cancer</x:v>
      </x:c>
      <x:c r="P249" s="19" t="str">
        <x:v>Identified: substantial cancer prevalence among non-specific symptom referrals; missed: patients with serious symptoms outside pathway criteria.</x:v>
      </x:c>
      <x:c r="Q249" s="19" t="str"/>
      <x:c r="R249" s="19" t="str">
        <x:v>Support structured referral for uncertainty, not just classic red flags.</x:v>
      </x:c>
      <x:c r="S249" s="19" t="str">
        <x:v>high</x:v>
      </x:c>
      <x:c r="T249" s="19" t="str">
        <x:v>02_extracted_evidence/reviews_or_complaints.csv</x:v>
      </x:c>
      <x:c r="U249" s="19" t="str">
        <x:v>research_evidence_package_health_system_patient_flows_2026-05-30.tar.gz::02_extracted_evidence/reviews_or_complaints.csv::R007</x:v>
      </x:c>
    </x:row>
    <x:row r="250">
      <x:c r="A250" s="19" t="str">
        <x:v>A_flows</x:v>
      </x:c>
      <x:c r="B250" s="19" t="str">
        <x:v>research_evidence_package_health_system_patient_flows_2026-05-30.tar.gz</x:v>
      </x:c>
      <x:c r="C250" s="19" t="str">
        <x:v>Research A / health-system patient flows</x:v>
      </x:c>
      <x:c r="D250" s="19" t="str">
        <x:v>review_or_complaint</x:v>
      </x:c>
      <x:c r="E250" s="19" t="str">
        <x:v>R008</x:v>
      </x:c>
      <x:c r="F250" s="19" t="str">
        <x:v>S53</x:v>
      </x:c>
      <x:c r="G250" s="19" t="str">
        <x:v>Undiagnosed: When Your Rare Diagnosis Comes 30 Years Late</x:v>
      </x:c>
      <x:c r="H250" s="19" t="str">
        <x:v>https://rarediseases.org/undiagnosed-when-your-rare-diagnosis-comes-30-years-late/</x:v>
      </x:c>
      <x:c r="I250" s="19" t="str">
        <x:v>US</x:v>
      </x:c>
      <x:c r="J250" s="19" t="str">
        <x:v>specialist clinic / rare disease</x:v>
      </x:c>
      <x:c r="K250" s="19" t="str">
        <x:v>repeat visit; specialist review; imaging/genetic/special testing</x:v>
      </x:c>
      <x:c r="L250" s="19" t="str"/>
      <x:c r="M250" s="19" t="str">
        <x:v>diagnostic/process complaint</x:v>
      </x:c>
      <x:c r="N250" s="19" t="str"/>
      <x:c r="O250" s="19" t="str">
        <x:v>Public complaint/experience source about rare congenital/neurologic condition</x:v>
      </x:c>
      <x:c r="P250" s="19" t="str">
        <x:v>Missed/delayed: rare diagnosis across many earlier encounters.</x:v>
      </x:c>
      <x:c r="Q250" s="19" t="str"/>
      <x:c r="R250" s="19" t="str">
        <x:v>Give patients a longitudinal symptom/problem timeline they can share across systems.</x:v>
      </x:c>
      <x:c r="S250" s="19" t="str">
        <x:v>low</x:v>
      </x:c>
      <x:c r="T250" s="19" t="str">
        <x:v>02_extracted_evidence/reviews_or_complaints.csv</x:v>
      </x:c>
      <x:c r="U250" s="19" t="str">
        <x:v>research_evidence_package_health_system_patient_flows_2026-05-30.tar.gz::02_extracted_evidence/reviews_or_complaints.csv::R008</x:v>
      </x:c>
    </x:row>
    <x:row r="251">
      <x:c r="A251" s="19" t="str">
        <x:v>A_flows</x:v>
      </x:c>
      <x:c r="B251" s="19" t="str">
        <x:v>research_evidence_package_health_system_patient_flows_2026-05-30.tar.gz</x:v>
      </x:c>
      <x:c r="C251" s="19" t="str">
        <x:v>Research A / health-system patient flows</x:v>
      </x:c>
      <x:c r="D251" s="19" t="str">
        <x:v>review_or_complaint</x:v>
      </x:c>
      <x:c r="E251" s="19" t="str">
        <x:v>R009</x:v>
      </x:c>
      <x:c r="F251" s="19" t="str">
        <x:v>S54</x:v>
      </x:c>
      <x:c r="G251" s="19" t="str">
        <x:v>Living with CKD: diagnosis experiences</x:v>
      </x:c>
      <x:c r="H251" s="19" t="str">
        <x:v>https://kidneycareuk.org/kidney-disease-information/your-stories/ckd-diagnosis-experiences/</x:v>
      </x:c>
      <x:c r="I251" s="19" t="str">
        <x:v>UK</x:v>
      </x:c>
      <x:c r="J251" s="19" t="str">
        <x:v>primary care / chronic disease</x:v>
      </x:c>
      <x:c r="K251" s="19" t="str">
        <x:v>medical history; lab interpretation; diagnosis discussion</x:v>
      </x:c>
      <x:c r="L251" s="19" t="str"/>
      <x:c r="M251" s="19" t="str">
        <x:v>diagnostic/process complaint</x:v>
      </x:c>
      <x:c r="N251" s="19" t="str"/>
      <x:c r="O251" s="19" t="str">
        <x:v>Public complaint/experience source about chronic kidney disease</x:v>
      </x:c>
      <x:c r="P251" s="19" t="str">
        <x:v>Missed/delayed: chronic disease recognition or patient understanding.</x:v>
      </x:c>
      <x:c r="Q251" s="19" t="str"/>
      <x:c r="R251" s="19" t="str">
        <x:v>Pair lab trend alerts with patient-facing explanations and record visibility checks.</x:v>
      </x:c>
      <x:c r="S251" s="19" t="str">
        <x:v>low</x:v>
      </x:c>
      <x:c r="T251" s="19" t="str">
        <x:v>02_extracted_evidence/reviews_or_complaints.csv</x:v>
      </x:c>
      <x:c r="U251" s="19" t="str">
        <x:v>research_evidence_package_health_system_patient_flows_2026-05-30.tar.gz::02_extracted_evidence/reviews_or_complaints.csv::R009</x:v>
      </x:c>
    </x:row>
    <x:row r="252">
      <x:c r="A252" s="19" t="str">
        <x:v>A_flows</x:v>
      </x:c>
      <x:c r="B252" s="19" t="str">
        <x:v>research_evidence_package_health_system_patient_flows_2026-05-30.tar.gz</x:v>
      </x:c>
      <x:c r="C252" s="19" t="str">
        <x:v>Research A / health-system patient flows</x:v>
      </x:c>
      <x:c r="D252" s="19" t="str">
        <x:v>review_or_complaint</x:v>
      </x:c>
      <x:c r="E252" s="19" t="str">
        <x:v>R010</x:v>
      </x:c>
      <x:c r="F252" s="19" t="str">
        <x:v>S56</x:v>
      </x:c>
      <x:c r="G252" s="19" t="str">
        <x:v>Types and Origins of Diagnostic Errors in Primary Care Settings</x:v>
      </x:c>
      <x:c r="H252" s="19" t="str">
        <x:v>https://jamanetwork.com/journals/jamainternalmedicine/fullarticle/1656540</x:v>
      </x:c>
      <x:c r="I252" s="19" t="str">
        <x:v>US</x:v>
      </x:c>
      <x:c r="J252" s="19" t="str">
        <x:v>primary care</x:v>
      </x:c>
      <x:c r="K252" s="19" t="str">
        <x:v>first clinician assessment; medical history; physical exam; labs ordered</x:v>
      </x:c>
      <x:c r="L252" s="19" t="str"/>
      <x:c r="M252" s="19" t="str">
        <x:v>diagnostic/process complaint</x:v>
      </x:c>
      <x:c r="N252" s="19" t="str"/>
      <x:c r="O252" s="19" t="str">
        <x:v>Public complaint/experience source about varied common diseases with potential harm</x:v>
      </x:c>
      <x:c r="P252" s="19" t="str">
        <x:v>Missed/delayed: common diseases; process breakdowns in patient-practitioner encounter, history, exam and workup ordering.</x:v>
      </x:c>
      <x:c r="Q252" s="19" t="str"/>
      <x:c r="R252" s="19" t="str">
        <x:v>Use trigger tools to surface unplanned returns after recent visits and prompt diagnostic review.</x:v>
      </x:c>
      <x:c r="S252" s="19" t="str">
        <x:v>high</x:v>
      </x:c>
      <x:c r="T252" s="19" t="str">
        <x:v>02_extracted_evidence/reviews_or_complaints.csv</x:v>
      </x:c>
      <x:c r="U252" s="19" t="str">
        <x:v>research_evidence_package_health_system_patient_flows_2026-05-30.tar.gz::02_extracted_evidence/reviews_or_complaints.csv::R010</x:v>
      </x:c>
    </x:row>
    <x:row r="253">
      <x:c r="A253" s="19" t="str">
        <x:v>A_flows</x:v>
      </x:c>
      <x:c r="B253" s="19" t="str">
        <x:v>research_evidence_package_health_system_patient_flows_2026-05-30.tar.gz</x:v>
      </x:c>
      <x:c r="C253" s="19" t="str">
        <x:v>Research A / health-system patient flows</x:v>
      </x:c>
      <x:c r="D253" s="19" t="str">
        <x:v>metric</x:v>
      </x:c>
      <x:c r="E253" s="19" t="str">
        <x:v>M001</x:v>
      </x:c>
      <x:c r="F253" s="19" t="str">
        <x:v>S13</x:v>
      </x:c>
      <x:c r="G253" s="19" t="str">
        <x:v>Digital tools for online consultation in general practice</x:v>
      </x:c>
      <x:c r="H253" s="19" t="str">
        <x:v>https://www.hssib.org.uk/patient-safety-investigations/workforce-and-patient-safety/second-investigation-report/</x:v>
      </x:c>
      <x:c r="I253" s="19" t="str">
        <x:v>England</x:v>
      </x:c>
      <x:c r="J253" s="19" t="str">
        <x:v>primary care</x:v>
      </x:c>
      <x:c r="K253" s="19" t="str"/>
      <x:c r="L253" s="19" t="str">
        <x:v>patient safety incidents reviewed</x:v>
      </x:c>
      <x:c r="M253" s="19" t="str"/>
      <x:c r="N253" s="19" t="str">
        <x:v>patient safety incidents reviewed</x:v>
      </x:c>
      <x:c r="O253" s="19" t="str">
        <x:v>Shows repeat GP visits and continuity failures in delayed diagnosis.</x:v>
      </x:c>
      <x:c r="P253" s="19" t="str"/>
      <x:c r="Q253" s="19" t="str">
        <x:v>2023</x:v>
      </x:c>
      <x:c r="R253" s="19" t="str"/>
      <x:c r="S253" s="19" t="str">
        <x:v>high</x:v>
      </x:c>
      <x:c r="T253" s="19" t="str">
        <x:v>02_extracted_evidence/statistics_or_metrics.csv</x:v>
      </x:c>
      <x:c r="U253" s="19" t="str">
        <x:v>research_evidence_package_health_system_patient_flows_2026-05-30.tar.gz::02_extracted_evidence/statistics_or_metrics.csv::M001</x:v>
      </x:c>
    </x:row>
    <x:row r="254">
      <x:c r="A254" s="19" t="str">
        <x:v>A_flows</x:v>
      </x:c>
      <x:c r="B254" s="19" t="str">
        <x:v>research_evidence_package_health_system_patient_flows_2026-05-30.tar.gz</x:v>
      </x:c>
      <x:c r="C254" s="19" t="str">
        <x:v>Research A / health-system patient flows</x:v>
      </x:c>
      <x:c r="D254" s="19" t="str">
        <x:v>metric</x:v>
      </x:c>
      <x:c r="E254" s="19" t="str">
        <x:v>M002</x:v>
      </x:c>
      <x:c r="F254" s="19" t="str">
        <x:v>S20</x:v>
      </x:c>
      <x:c r="G254" s="19" t="str">
        <x:v>Continuity of care: delayed diagnosis in GP practices</x:v>
      </x:c>
      <x:c r="H254" s="19" t="str">
        <x:v>https://www.hssib.org.uk/patient-safety-investigations/continuity-of-care-delayed-diagnosis-in-gp-practices/investigation-report/pdf/</x:v>
      </x:c>
      <x:c r="I254" s="19" t="str">
        <x:v>UK</x:v>
      </x:c>
      <x:c r="J254" s="19" t="str">
        <x:v>primary care / specialist referral</x:v>
      </x:c>
      <x:c r="K254" s="19" t="str"/>
      <x:c r="L254" s="19" t="str">
        <x:v>average endometriosis diagnosis delay</x:v>
      </x:c>
      <x:c r="M254" s="19" t="str"/>
      <x:c r="N254" s="19" t="str">
        <x:v>average endometriosis diagnosis delay</x:v>
      </x:c>
      <x:c r="O254" s="19" t="str">
        <x:v>Shows chronic illness identification can require years and self-advocacy.</x:v>
      </x:c>
      <x:c r="P254" s="19" t="str"/>
      <x:c r="Q254" s="19" t="str">
        <x:v>2024</x:v>
      </x:c>
      <x:c r="R254" s="19" t="str"/>
      <x:c r="S254" s="19" t="str">
        <x:v>high</x:v>
      </x:c>
      <x:c r="T254" s="19" t="str">
        <x:v>02_extracted_evidence/statistics_or_metrics.csv</x:v>
      </x:c>
      <x:c r="U254" s="19" t="str">
        <x:v>research_evidence_package_health_system_patient_flows_2026-05-30.tar.gz::02_extracted_evidence/statistics_or_metrics.csv::M002</x:v>
      </x:c>
    </x:row>
    <x:row r="255">
      <x:c r="A255" s="19" t="str">
        <x:v>A_flows</x:v>
      </x:c>
      <x:c r="B255" s="19" t="str">
        <x:v>research_evidence_package_health_system_patient_flows_2026-05-30.tar.gz</x:v>
      </x:c>
      <x:c r="C255" s="19" t="str">
        <x:v>Research A / health-system patient flows</x:v>
      </x:c>
      <x:c r="D255" s="19" t="str">
        <x:v>metric</x:v>
      </x:c>
      <x:c r="E255" s="19" t="str">
        <x:v>M003</x:v>
      </x:c>
      <x:c r="F255" s="19" t="str">
        <x:v>S21</x:v>
      </x:c>
      <x:c r="G255" s="19" t="str">
        <x:v>Jess's Rule: Three strikes and we rethink</x:v>
      </x:c>
      <x:c r="H255" s="19" t="str">
        <x:v>https://www.england.nhs.uk/long-read/jesss-rule-three-strikes-and-we-rethink/</x:v>
      </x:c>
      <x:c r="I255" s="19" t="str">
        <x:v>US</x:v>
      </x:c>
      <x:c r="J255" s="19" t="str">
        <x:v>outpatient / primary care</x:v>
      </x:c>
      <x:c r="K255" s="19" t="str"/>
      <x:c r="L255" s="19" t="str">
        <x:v>estimated diagnostic error burden</x:v>
      </x:c>
      <x:c r="M255" s="19" t="str"/>
      <x:c r="N255" s="19" t="str">
        <x:v>estimated diagnostic error burden</x:v>
      </x:c>
      <x:c r="O255" s="19" t="str">
        <x:v>Shows diagnostic error is common enough to design for, not only rare edge cases.</x:v>
      </x:c>
      <x:c r="P255" s="19" t="str"/>
      <x:c r="Q255" s="19" t="str">
        <x:v>2014</x:v>
      </x:c>
      <x:c r="R255" s="19" t="str"/>
      <x:c r="S255" s="19" t="str">
        <x:v>medium</x:v>
      </x:c>
      <x:c r="T255" s="19" t="str">
        <x:v>02_extracted_evidence/statistics_or_metrics.csv</x:v>
      </x:c>
      <x:c r="U255" s="19" t="str">
        <x:v>research_evidence_package_health_system_patient_flows_2026-05-30.tar.gz::02_extracted_evidence/statistics_or_metrics.csv::M003</x:v>
      </x:c>
    </x:row>
    <x:row r="256">
      <x:c r="A256" s="19" t="str">
        <x:v>A_flows</x:v>
      </x:c>
      <x:c r="B256" s="19" t="str">
        <x:v>research_evidence_package_health_system_patient_flows_2026-05-30.tar.gz</x:v>
      </x:c>
      <x:c r="C256" s="19" t="str">
        <x:v>Research A / health-system patient flows</x:v>
      </x:c>
      <x:c r="D256" s="19" t="str">
        <x:v>metric</x:v>
      </x:c>
      <x:c r="E256" s="19" t="str">
        <x:v>M004</x:v>
      </x:c>
      <x:c r="F256" s="19" t="str">
        <x:v>S52</x:v>
      </x:c>
      <x:c r="G256" s="19" t="str">
        <x:v>Data analysis reveals common errors that prevent patients from getting timely, accurate diagnoses</x:v>
      </x:c>
      <x:c r="H256" s="19" t="str">
        <x:v>https://home.ecri.org/blogs/ecri-news/data-analysis-reveals-common-errors-that-prevent-patients-from-getting-timely-accurate-diagnoses</x:v>
      </x:c>
      <x:c r="I256" s="19" t="str">
        <x:v>global</x:v>
      </x:c>
      <x:c r="J256" s="19" t="str">
        <x:v>low-resource / public health</x:v>
      </x:c>
      <x:c r="K256" s="19" t="str"/>
      <x:c r="L256" s="19" t="str">
        <x:v>estimated global population lacking essential health services</x:v>
      </x:c>
      <x:c r="M256" s="19" t="str"/>
      <x:c r="N256" s="19" t="str">
        <x:v>estimated global population lacking essential health services</x:v>
      </x:c>
      <x:c r="O256" s="19" t="str">
        <x:v>Frames resource constraints for real-world identification workflows.</x:v>
      </x:c>
      <x:c r="P256" s="19" t="str"/>
      <x:c r="Q256" s="19" t="str">
        <x:v>2023</x:v>
      </x:c>
      <x:c r="R256" s="19" t="str"/>
      <x:c r="S256" s="19" t="str">
        <x:v>medium</x:v>
      </x:c>
      <x:c r="T256" s="19" t="str">
        <x:v>02_extracted_evidence/statistics_or_metrics.csv</x:v>
      </x:c>
      <x:c r="U256" s="19" t="str">
        <x:v>research_evidence_package_health_system_patient_flows_2026-05-30.tar.gz::02_extracted_evidence/statistics_or_metrics.csv::M004</x:v>
      </x:c>
    </x:row>
    <x:row r="257">
      <x:c r="A257" s="19" t="str">
        <x:v>A_flows</x:v>
      </x:c>
      <x:c r="B257" s="19" t="str">
        <x:v>research_evidence_package_health_system_patient_flows_2026-05-30.tar.gz</x:v>
      </x:c>
      <x:c r="C257" s="19" t="str">
        <x:v>Research A / health-system patient flows</x:v>
      </x:c>
      <x:c r="D257" s="19" t="str">
        <x:v>fact</x:v>
      </x:c>
      <x:c r="E257" s="19" t="str">
        <x:v>F001</x:v>
      </x:c>
      <x:c r="F257" s="19" t="str">
        <x:v>S01</x:v>
      </x:c>
      <x:c r="G257" s="19" t="str">
        <x:v>Emergency Severity Index (ESI): A Triage Tool for Emergency Department Care, Version 4</x:v>
      </x:c>
      <x:c r="H257" s="19" t="str">
        <x:v>https://media.emscimprovement.center/documents/Emergency_Severity_Index_Handbook.pdf</x:v>
      </x:c>
      <x:c r="I257" s="19" t="str">
        <x:v>US / internationally used</x:v>
      </x:c>
      <x:c r="J257" s="19" t="str">
        <x:v>emergency department</x:v>
      </x:c>
      <x:c r="K257" s="19" t="str">
        <x:v>red flag missed; normal-test trap; incomplete history</x:v>
      </x:c>
      <x:c r="L257" s="19" t="str"/>
      <x:c r="M257" s="19" t="str">
        <x:v>red flag missed; normal-test trap; incomplete history</x:v>
      </x:c>
      <x:c r="N257" s="19" t="str">
        <x:v>Triage is a rapid risk sort, not a diagnosis; subtle chronic or complex symptoms may appear low acuity if vitals are normal.</x:v>
      </x:c>
      <x:c r="O257" s="19" t="str">
        <x:v>Stage: nurse triage; action: Classify acuity using ESI: immediate life-saving intervention, high risk/severe pain, then expected resources, with danger-zone vitals review.</x:v>
      </x:c>
      <x:c r="P257" s="19" t="str"/>
      <x:c r="Q257" s="19" t="str"/>
      <x:c r="R257" s="19" t="str"/>
      <x:c r="S257" s="19" t="str">
        <x:v>high</x:v>
      </x:c>
      <x:c r="T257" s="19" t="str">
        <x:v>02_extracted_evidence/facts.csv</x:v>
      </x:c>
      <x:c r="U257" s="19" t="str">
        <x:v>research_evidence_package_health_system_patient_flows_2026-05-30.tar.gz::02_extracted_evidence/facts.csv::F001</x:v>
      </x:c>
    </x:row>
    <x:row r="258">
      <x:c r="A258" s="19" t="str">
        <x:v>A_flows</x:v>
      </x:c>
      <x:c r="B258" s="19" t="str">
        <x:v>research_evidence_package_health_system_patient_flows_2026-05-30.tar.gz</x:v>
      </x:c>
      <x:c r="C258" s="19" t="str">
        <x:v>Research A / health-system patient flows</x:v>
      </x:c>
      <x:c r="D258" s="19" t="str">
        <x:v>fact</x:v>
      </x:c>
      <x:c r="E258" s="19" t="str">
        <x:v>F002</x:v>
      </x:c>
      <x:c r="F258" s="19" t="str">
        <x:v>S02</x:v>
      </x:c>
      <x:c r="G258" s="19" t="str">
        <x:v>Diagnostic Errors in the Emergency Department: A Systematic Review</x:v>
      </x:c>
      <x:c r="H258" s="19" t="str">
        <x:v>https://www.ncbi.nlm.nih.gov/books/NBK588197/</x:v>
      </x:c>
      <x:c r="I258" s="19" t="str">
        <x:v>US-focused evidence</x:v>
      </x:c>
      <x:c r="J258" s="19" t="str">
        <x:v>emergency department</x:v>
      </x:c>
      <x:c r="K258" s="19" t="str">
        <x:v>red flag missed; repeated visits ignored; no follow-up ownership</x:v>
      </x:c>
      <x:c r="L258" s="19" t="str"/>
      <x:c r="M258" s="19" t="str">
        <x:v>red flag missed; repeated visits ignored; no follow-up ownership</x:v>
      </x:c>
      <x:c r="N258" s="19" t="str">
        <x:v>High-risk diagnoses may be missed at the first visit and only recognized after repeat ED return or deterioration.</x:v>
      </x:c>
      <x:c r="O258" s="19" t="str">
        <x:v>Stage: first clinician assessment; imaging/lab interpretation; discharge; action: Systematic review estimated diagnostic error harms and common high-harm conditions.</x:v>
      </x:c>
      <x:c r="P258" s="19" t="str"/>
      <x:c r="Q258" s="19" t="str"/>
      <x:c r="R258" s="19" t="str"/>
      <x:c r="S258" s="19" t="str">
        <x:v>high</x:v>
      </x:c>
      <x:c r="T258" s="19" t="str">
        <x:v>02_extracted_evidence/facts.csv</x:v>
      </x:c>
      <x:c r="U258" s="19" t="str">
        <x:v>research_evidence_package_health_system_patient_flows_2026-05-30.tar.gz::02_extracted_evidence/facts.csv::F002</x:v>
      </x:c>
    </x:row>
    <x:row r="259">
      <x:c r="A259" s="19" t="str">
        <x:v>A_flows</x:v>
      </x:c>
      <x:c r="B259" s="19" t="str">
        <x:v>research_evidence_package_health_system_patient_flows_2026-05-30.tar.gz</x:v>
      </x:c>
      <x:c r="C259" s="19" t="str">
        <x:v>Research A / health-system patient flows</x:v>
      </x:c>
      <x:c r="D259" s="19" t="str">
        <x:v>fact</x:v>
      </x:c>
      <x:c r="E259" s="19" t="str">
        <x:v>F003</x:v>
      </x:c>
      <x:c r="F259" s="19" t="str">
        <x:v>S03</x:v>
      </x:c>
      <x:c r="G259" s="19" t="str">
        <x:v>Guidance for emergency departments: initial assessment</x:v>
      </x:c>
      <x:c r="H259" s="19" t="str">
        <x:v>https://www.england.nhs.uk/guidance-for-emergency-departments-initial-assessment/</x:v>
      </x:c>
      <x:c r="I259" s="19" t="str">
        <x:v>England</x:v>
      </x:c>
      <x:c r="J259" s="19" t="str">
        <x:v>emergency department</x:v>
      </x:c>
      <x:c r="K259" s="19" t="str">
        <x:v>poor handoff; red flag missed; no follow-up ownership</x:v>
      </x:c>
      <x:c r="L259" s="19" t="str"/>
      <x:c r="M259" s="19" t="str">
        <x:v>poor handoff; red flag missed; no follow-up ownership</x:v>
      </x:c>
      <x:c r="N259" s="19" t="str">
        <x:v>Patients may experience an 'occult wait' before triage if registration queues or digital check-in create hidden delays.</x:v>
      </x:c>
      <x:c r="O259" s="19" t="str">
        <x:v>Stage: arrival; registration; nurse triage; streaming; first clinician assessment; action: Initial assessment can include streaming, triage and rapid assessment/treatment to identify sickest patients and direct others to right service.</x:v>
      </x:c>
      <x:c r="P259" s="19" t="str"/>
      <x:c r="Q259" s="19" t="str"/>
      <x:c r="R259" s="19" t="str"/>
      <x:c r="S259" s="19" t="str">
        <x:v>high</x:v>
      </x:c>
      <x:c r="T259" s="19" t="str">
        <x:v>02_extracted_evidence/facts.csv</x:v>
      </x:c>
      <x:c r="U259" s="19" t="str">
        <x:v>research_evidence_package_health_system_patient_flows_2026-05-30.tar.gz::02_extracted_evidence/facts.csv::F003</x:v>
      </x:c>
    </x:row>
    <x:row r="260">
      <x:c r="A260" s="19" t="str">
        <x:v>A_flows</x:v>
      </x:c>
      <x:c r="B260" s="19" t="str">
        <x:v>research_evidence_package_health_system_patient_flows_2026-05-30.tar.gz</x:v>
      </x:c>
      <x:c r="C260" s="19" t="str">
        <x:v>Research A / health-system patient flows</x:v>
      </x:c>
      <x:c r="D260" s="19" t="str">
        <x:v>fact</x:v>
      </x:c>
      <x:c r="E260" s="19" t="str">
        <x:v>F004</x:v>
      </x:c>
      <x:c r="F260" s="19" t="str">
        <x:v>S04</x:v>
      </x:c>
      <x:c r="G260" s="19" t="str">
        <x:v>Initial Assessment of Emergency Department Patients</x:v>
      </x:c>
      <x:c r="H260" s="19" t="str">
        <x:v>https://rcem.ac.uk/wp-content/uploads/2025/04/Initial-Assessment.pdf</x:v>
      </x:c>
      <x:c r="I260" s="19" t="str">
        <x:v>UK</x:v>
      </x:c>
      <x:c r="J260" s="19" t="str">
        <x:v>emergency department</x:v>
      </x:c>
      <x:c r="K260" s="19" t="str">
        <x:v>arrival; registration; red flag missed; poor handoff</x:v>
      </x:c>
      <x:c r="L260" s="19" t="str"/>
      <x:c r="M260" s="19" t="str">
        <x:v>arrival; registration; red flag missed; poor handoff</x:v>
      </x:c>
      <x:c r="N260" s="19" t="str">
        <x:v>Operational queues can hide clinical risk before the patient is visible to the triage system.</x:v>
      </x:c>
      <x:c r="O260" s="19" t="str">
        <x:v>Stage: registration; initial assessment; vitals; action: Register quickly, perform initial assessment by trained registered clinician, record minimum clinical fields and use early warning scores where relevant.</x:v>
      </x:c>
      <x:c r="P260" s="19" t="str"/>
      <x:c r="Q260" s="19" t="str"/>
      <x:c r="R260" s="19" t="str"/>
      <x:c r="S260" s="19" t="str">
        <x:v>high</x:v>
      </x:c>
      <x:c r="T260" s="19" t="str">
        <x:v>02_extracted_evidence/facts.csv</x:v>
      </x:c>
      <x:c r="U260" s="19" t="str">
        <x:v>research_evidence_package_health_system_patient_flows_2026-05-30.tar.gz::02_extracted_evidence/facts.csv::F004</x:v>
      </x:c>
    </x:row>
    <x:row r="261">
      <x:c r="A261" s="19" t="str">
        <x:v>A_flows</x:v>
      </x:c>
      <x:c r="B261" s="19" t="str">
        <x:v>research_evidence_package_health_system_patient_flows_2026-05-30.tar.gz</x:v>
      </x:c>
      <x:c r="C261" s="19" t="str">
        <x:v>Research A / health-system patient flows</x:v>
      </x:c>
      <x:c r="D261" s="19" t="str">
        <x:v>fact</x:v>
      </x:c>
      <x:c r="E261" s="19" t="str">
        <x:v>F005</x:v>
      </x:c>
      <x:c r="F261" s="19" t="str">
        <x:v>S05</x:v>
      </x:c>
      <x:c r="G261" s="19" t="str">
        <x:v>Emergency Department Workflow Diagrams</x:v>
      </x:c>
      <x:c r="H261" s="19" t="str">
        <x:v>https://www.ahrq.gov/sites/default/files/wysiwyg/professionals/quality-patient-safety/quality-resources/tools/cap-toolkit/ed-workflowdiagrams.pdf</x:v>
      </x:c>
      <x:c r="I261" s="19" t="str">
        <x:v>US</x:v>
      </x:c>
      <x:c r="J261" s="19" t="str">
        <x:v>emergency department</x:v>
      </x:c>
      <x:c r="K261" s="19" t="str">
        <x:v>documentation error; no one connected the dots; normal-test trap</x:v>
      </x:c>
      <x:c r="L261" s="19" t="str"/>
      <x:c r="M261" s="19" t="str">
        <x:v>documentation error; no one connected the dots; normal-test trap</x:v>
      </x:c>
      <x:c r="N261" s="19" t="str">
        <x:v>Decision support needs upstream data completeness and downstream reassessment when diagnosis does not fit.</x:v>
      </x:c>
      <x:c r="O261" s="19" t="str">
        <x:v>Stage: arrival; intake; labs ordered; imaging ordered; lab interpretation; discharge/admission; action: Patient arrives by EMS/walk-in; triage/intake RN collects key data; provider orders labs/CXR; CURB-65 and clinical assessment guide admission vs outpatient antibiotics.</x:v>
      </x:c>
      <x:c r="P261" s="19" t="str"/>
      <x:c r="Q261" s="19" t="str"/>
      <x:c r="R261" s="19" t="str"/>
      <x:c r="S261" s="19" t="str">
        <x:v>medium</x:v>
      </x:c>
      <x:c r="T261" s="19" t="str">
        <x:v>02_extracted_evidence/facts.csv</x:v>
      </x:c>
      <x:c r="U261" s="19" t="str">
        <x:v>research_evidence_package_health_system_patient_flows_2026-05-30.tar.gz::02_extracted_evidence/facts.csv::F005</x:v>
      </x:c>
    </x:row>
    <x:row r="262">
      <x:c r="A262" s="19" t="str">
        <x:v>A_flows</x:v>
      </x:c>
      <x:c r="B262" s="19" t="str">
        <x:v>research_evidence_package_health_system_patient_flows_2026-05-30.tar.gz</x:v>
      </x:c>
      <x:c r="C262" s="19" t="str">
        <x:v>Research A / health-system patient flows</x:v>
      </x:c>
      <x:c r="D262" s="19" t="str">
        <x:v>fact</x:v>
      </x:c>
      <x:c r="E262" s="19" t="str">
        <x:v>F006</x:v>
      </x:c>
      <x:c r="F262" s="19" t="str">
        <x:v>S06</x:v>
      </x:c>
      <x:c r="G262" s="19" t="str">
        <x:v>Urgent care self-service</x:v>
      </x:c>
      <x:c r="H262" s="19" t="str">
        <x:v>https://digital.nhs.uk/services/urgent-care-self-service-product</x:v>
      </x:c>
      <x:c r="I262" s="19" t="str">
        <x:v>England</x:v>
      </x:c>
      <x:c r="J262" s="19" t="str">
        <x:v>urgent care / ED front door</x:v>
      </x:c>
      <x:c r="K262" s="19" t="str">
        <x:v>digital access gap; incomplete history; red flag missed</x:v>
      </x:c>
      <x:c r="L262" s="19" t="str"/>
      <x:c r="M262" s="19" t="str">
        <x:v>digital access gap; incomplete history; red flag missed</x:v>
      </x:c>
      <x:c r="N262" s="19" t="str">
        <x:v>Self-service can speed flow but may miss nuance, language barriers or worsening while waiting.</x:v>
      </x:c>
      <x:c r="O262" s="19" t="str">
        <x:v>Stage: arrival; intake form; triage; referral; action: Patient self-checks in on kiosk/tablet, completes symptom triage, and can be prioritised, redirected or referred through service routing.</x:v>
      </x:c>
      <x:c r="P262" s="19" t="str"/>
      <x:c r="Q262" s="19" t="str"/>
      <x:c r="R262" s="19" t="str"/>
      <x:c r="S262" s="19" t="str">
        <x:v>medium</x:v>
      </x:c>
      <x:c r="T262" s="19" t="str">
        <x:v>02_extracted_evidence/facts.csv</x:v>
      </x:c>
      <x:c r="U262" s="19" t="str">
        <x:v>research_evidence_package_health_system_patient_flows_2026-05-30.tar.gz::02_extracted_evidence/facts.csv::F006</x:v>
      </x:c>
    </x:row>
    <x:row r="263">
      <x:c r="A263" s="19" t="str">
        <x:v>A_flows</x:v>
      </x:c>
      <x:c r="B263" s="19" t="str">
        <x:v>research_evidence_package_health_system_patient_flows_2026-05-30.tar.gz</x:v>
      </x:c>
      <x:c r="C263" s="19" t="str">
        <x:v>Research A / health-system patient flows</x:v>
      </x:c>
      <x:c r="D263" s="19" t="str">
        <x:v>fact</x:v>
      </x:c>
      <x:c r="E263" s="19" t="str">
        <x:v>F007</x:v>
      </x:c>
      <x:c r="F263" s="19" t="str">
        <x:v>S07</x:v>
      </x:c>
      <x:c r="G263" s="19" t="str">
        <x:v>Urgent treatment centres: principles and standards</x:v>
      </x:c>
      <x:c r="H263" s="19" t="str">
        <x:v>https://www.england.nhs.uk/publication/urgent-treatment-centres-principles-and-standards/</x:v>
      </x:c>
      <x:c r="I263" s="19" t="str">
        <x:v>England</x:v>
      </x:c>
      <x:c r="J263" s="19" t="str">
        <x:v>urgent care</x:v>
      </x:c>
      <x:c r="K263" s="19" t="str">
        <x:v>wrong specialty; poor handoff; no follow-up ownership</x:v>
      </x:c>
      <x:c r="L263" s="19" t="str"/>
      <x:c r="M263" s="19" t="str">
        <x:v>wrong specialty; poor handoff; no follow-up ownership</x:v>
      </x:c>
      <x:c r="N263" s="19" t="str">
        <x:v>UTC boundaries are porous; patients may need escalation, diagnostics or follow-up ownership outside the UTC.</x:v>
      </x:c>
      <x:c r="O263" s="19" t="str">
        <x:v>Stage: arrival; first clinician assessment; labs ordered; imaging ordered; referral; follow-up; action: UTCs accept booked and walk-in patients; provide basic diagnostics or protocols; share records/post-event messages and refer to ED/specialists when needed.</x:v>
      </x:c>
      <x:c r="P263" s="19" t="str"/>
      <x:c r="Q263" s="19" t="str"/>
      <x:c r="R263" s="19" t="str"/>
      <x:c r="S263" s="19" t="str">
        <x:v>high</x:v>
      </x:c>
      <x:c r="T263" s="19" t="str">
        <x:v>02_extracted_evidence/facts.csv</x:v>
      </x:c>
      <x:c r="U263" s="19" t="str">
        <x:v>research_evidence_package_health_system_patient_flows_2026-05-30.tar.gz::02_extracted_evidence/facts.csv::F007</x:v>
      </x:c>
    </x:row>
    <x:row r="264">
      <x:c r="A264" s="19" t="str">
        <x:v>A_flows</x:v>
      </x:c>
      <x:c r="B264" s="19" t="str">
        <x:v>research_evidence_package_health_system_patient_flows_2026-05-30.tar.gz</x:v>
      </x:c>
      <x:c r="C264" s="19" t="str">
        <x:v>Research A / health-system patient flows</x:v>
      </x:c>
      <x:c r="D264" s="19" t="str">
        <x:v>fact</x:v>
      </x:c>
      <x:c r="E264" s="19" t="str">
        <x:v>F008</x:v>
      </x:c>
      <x:c r="F264" s="19" t="str">
        <x:v>S08</x:v>
      </x:c>
      <x:c r="G264" s="19" t="str">
        <x:v>When to visit an urgent treatment centre</x:v>
      </x:c>
      <x:c r="H264" s="19" t="str">
        <x:v>https://www.nhs.uk/nhs-services/urgent-and-emergency-care-services/when-to-visit-an-urgent-treatment-centre-urgent-care-centre-or-minor-injury-unit/</x:v>
      </x:c>
      <x:c r="I264" s="19" t="str">
        <x:v>England</x:v>
      </x:c>
      <x:c r="J264" s="19" t="str">
        <x:v>urgent care</x:v>
      </x:c>
      <x:c r="K264" s="19" t="str">
        <x:v>red flag missed; patient self-advocacy required</x:v>
      </x:c>
      <x:c r="L264" s="19" t="str"/>
      <x:c r="M264" s="19" t="str">
        <x:v>red flag missed; patient self-advocacy required</x:v>
      </x:c>
      <x:c r="N264" s="19" t="str">
        <x:v>The workflow depends on patients knowing when and how to report deterioration while waiting.</x:v>
      </x:c>
      <x:c r="O264" s="19" t="str">
        <x:v>Stage: arrival; vitals; first clinician assessment; discharge/referral; action: On arrival, patients may have observations by nurse, may wait by acuity not arrival order, and can be assessed/treated onsite or referred; GP is updated afterwards.</x:v>
      </x:c>
      <x:c r="P264" s="19" t="str"/>
      <x:c r="Q264" s="19" t="str"/>
      <x:c r="R264" s="19" t="str"/>
      <x:c r="S264" s="19" t="str">
        <x:v>medium</x:v>
      </x:c>
      <x:c r="T264" s="19" t="str">
        <x:v>02_extracted_evidence/facts.csv</x:v>
      </x:c>
      <x:c r="U264" s="19" t="str">
        <x:v>research_evidence_package_health_system_patient_flows_2026-05-30.tar.gz::02_extracted_evidence/facts.csv::F008</x:v>
      </x:c>
    </x:row>
    <x:row r="265">
      <x:c r="A265" s="19" t="str">
        <x:v>A_flows</x:v>
      </x:c>
      <x:c r="B265" s="19" t="str">
        <x:v>research_evidence_package_health_system_patient_flows_2026-05-30.tar.gz</x:v>
      </x:c>
      <x:c r="C265" s="19" t="str">
        <x:v>Research A / health-system patient flows</x:v>
      </x:c>
      <x:c r="D265" s="19" t="str">
        <x:v>fact</x:v>
      </x:c>
      <x:c r="E265" s="19" t="str">
        <x:v>F009</x:v>
      </x:c>
      <x:c r="F265" s="19" t="str">
        <x:v>S09</x:v>
      </x:c>
      <x:c r="G265" s="19" t="str">
        <x:v>Vital Signs in the Urgent Care Center</x:v>
      </x:c>
      <x:c r="H265" s="19" t="str">
        <x:v>https://urgentcareassociation.org/wp-content/uploads/VITAL-SIGNS-IN-UC-CENTERS-04-2025_Revised.pdf</x:v>
      </x:c>
      <x:c r="I265" s="19" t="str">
        <x:v>US</x:v>
      </x:c>
      <x:c r="J265" s="19" t="str">
        <x:v>urgent care</x:v>
      </x:c>
      <x:c r="K265" s="19" t="str">
        <x:v>normal-test trap; lab trend missed; documentation error</x:v>
      </x:c>
      <x:c r="L265" s="19" t="str"/>
      <x:c r="M265" s="19" t="str">
        <x:v>normal-test trap; lab trend missed; documentation error</x:v>
      </x:c>
      <x:c r="N265" s="19" t="str">
        <x:v>Vitals create early signal but can be incomplete, delayed or not trended against prior visits.</x:v>
      </x:c>
      <x:c r="O265" s="19" t="str">
        <x:v>Stage: vitals; nurse triage; first clinician assessment; action: Initial vitals tailored to age, complaint and status; abnormal vitals reported and repeated.</x:v>
      </x:c>
      <x:c r="P265" s="19" t="str"/>
      <x:c r="Q265" s="19" t="str"/>
      <x:c r="R265" s="19" t="str"/>
      <x:c r="S265" s="19" t="str">
        <x:v>medium</x:v>
      </x:c>
      <x:c r="T265" s="19" t="str">
        <x:v>02_extracted_evidence/facts.csv</x:v>
      </x:c>
      <x:c r="U265" s="19" t="str">
        <x:v>research_evidence_package_health_system_patient_flows_2026-05-30.tar.gz::02_extracted_evidence/facts.csv::F009</x:v>
      </x:c>
    </x:row>
    <x:row r="266">
      <x:c r="A266" s="19" t="str">
        <x:v>A_flows</x:v>
      </x:c>
      <x:c r="B266" s="19" t="str">
        <x:v>research_evidence_package_health_system_patient_flows_2026-05-30.tar.gz</x:v>
      </x:c>
      <x:c r="C266" s="19" t="str">
        <x:v>Research A / health-system patient flows</x:v>
      </x:c>
      <x:c r="D266" s="19" t="str">
        <x:v>fact</x:v>
      </x:c>
      <x:c r="E266" s="19" t="str">
        <x:v>F010</x:v>
      </x:c>
      <x:c r="F266" s="19" t="str">
        <x:v>S10</x:v>
      </x:c>
      <x:c r="G266" s="19" t="str">
        <x:v>Red Flags Identification and Intervention Policy for Urgent Care Centers</x:v>
      </x:c>
      <x:c r="H266" s="19" t="str">
        <x:v>https://urgentcareassociation.org/wp-content/uploads/RED-FLAGS-04-2025_Revised.pdf</x:v>
      </x:c>
      <x:c r="I266" s="19" t="str">
        <x:v>US</x:v>
      </x:c>
      <x:c r="J266" s="19" t="str">
        <x:v>urgent care</x:v>
      </x:c>
      <x:c r="K266" s="19" t="str">
        <x:v>red flag missed; incomplete history; poor handoff</x:v>
      </x:c>
      <x:c r="L266" s="19" t="str"/>
      <x:c r="M266" s="19" t="str">
        <x:v>red flag missed; incomplete history; poor handoff</x:v>
      </x:c>
      <x:c r="N266" s="19" t="str">
        <x:v>Non-clinical intake staff may be the first safety barrier.</x:v>
      </x:c>
      <x:c r="O266" s="19" t="str">
        <x:v>Stage: registration; intake form; nurse triage; action: Registration/intake staff ask reason for visit; red flags trigger immediate rooming and clinician involvement or ED transfer.</x:v>
      </x:c>
      <x:c r="P266" s="19" t="str"/>
      <x:c r="Q266" s="19" t="str"/>
      <x:c r="R266" s="19" t="str"/>
      <x:c r="S266" s="19" t="str">
        <x:v>medium</x:v>
      </x:c>
      <x:c r="T266" s="19" t="str">
        <x:v>02_extracted_evidence/facts.csv</x:v>
      </x:c>
      <x:c r="U266" s="19" t="str">
        <x:v>research_evidence_package_health_system_patient_flows_2026-05-30.tar.gz::02_extracted_evidence/facts.csv::F010</x:v>
      </x:c>
    </x:row>
    <x:row r="267">
      <x:c r="A267" s="19" t="str">
        <x:v>A_flows</x:v>
      </x:c>
      <x:c r="B267" s="19" t="str">
        <x:v>research_evidence_package_health_system_patient_flows_2026-05-30.tar.gz</x:v>
      </x:c>
      <x:c r="C267" s="19" t="str">
        <x:v>Research A / health-system patient flows</x:v>
      </x:c>
      <x:c r="D267" s="19" t="str">
        <x:v>fact</x:v>
      </x:c>
      <x:c r="E267" s="19" t="str">
        <x:v>F011</x:v>
      </x:c>
      <x:c r="F267" s="19" t="str">
        <x:v>S11</x:v>
      </x:c>
      <x:c r="G267" s="19" t="str">
        <x:v>NHS 111 online</x:v>
      </x:c>
      <x:c r="H267" s="19" t="str">
        <x:v>https://111.nhs.uk/</x:v>
      </x:c>
      <x:c r="I267" s="19" t="str">
        <x:v>England</x:v>
      </x:c>
      <x:c r="J267" s="19" t="str">
        <x:v>telehealth</x:v>
      </x:c>
      <x:c r="K267" s="19" t="str">
        <x:v>incomplete history; wrong specialty; no one connected the dots</x:v>
      </x:c>
      <x:c r="L267" s="19" t="str"/>
      <x:c r="M267" s="19" t="str">
        <x:v>incomplete history; wrong specialty; no one connected the dots</x:v>
      </x:c>
      <x:c r="N267" s="19" t="str">
        <x:v>Digital triage may fragment complex histories into a single main symptom.</x:v>
      </x:c>
      <x:c r="O267" s="19" t="str">
        <x:v>Stage: before visit; intake form; referral; action: Patient completes one symptom pathway; service gives advice such as self-care, pharmacist, GP, UTC, ED or callback.</x:v>
      </x:c>
      <x:c r="P267" s="19" t="str"/>
      <x:c r="Q267" s="19" t="str"/>
      <x:c r="R267" s="19" t="str"/>
      <x:c r="S267" s="19" t="str">
        <x:v>medium</x:v>
      </x:c>
      <x:c r="T267" s="19" t="str">
        <x:v>02_extracted_evidence/facts.csv</x:v>
      </x:c>
      <x:c r="U267" s="19" t="str">
        <x:v>research_evidence_package_health_system_patient_flows_2026-05-30.tar.gz::02_extracted_evidence/facts.csv::F011</x:v>
      </x:c>
    </x:row>
    <x:row r="268">
      <x:c r="A268" s="19" t="str">
        <x:v>A_flows</x:v>
      </x:c>
      <x:c r="B268" s="19" t="str">
        <x:v>research_evidence_package_health_system_patient_flows_2026-05-30.tar.gz</x:v>
      </x:c>
      <x:c r="C268" s="19" t="str">
        <x:v>Research A / health-system patient flows</x:v>
      </x:c>
      <x:c r="D268" s="19" t="str">
        <x:v>fact</x:v>
      </x:c>
      <x:c r="E268" s="19" t="str">
        <x:v>F012</x:v>
      </x:c>
      <x:c r="F268" s="19" t="str">
        <x:v>S12</x:v>
      </x:c>
      <x:c r="G268" s="19" t="str">
        <x:v>NHS 111 online staff information</x:v>
      </x:c>
      <x:c r="H268" s="19" t="str">
        <x:v>https://digital.nhs.uk/services/nhs-111-online</x:v>
      </x:c>
      <x:c r="I268" s="19" t="str">
        <x:v>England</x:v>
      </x:c>
      <x:c r="J268" s="19" t="str">
        <x:v>telehealth</x:v>
      </x:c>
      <x:c r="K268" s="19" t="str">
        <x:v>wrong specialty; poor handoff; fragmented care</x:v>
      </x:c>
      <x:c r="L268" s="19" t="str"/>
      <x:c r="M268" s="19" t="str">
        <x:v>wrong specialty; poor handoff; fragmented care</x:v>
      </x:c>
      <x:c r="N268" s="19" t="str">
        <x:v>The handoff is only as good as the service directory and referral visibility.</x:v>
      </x:c>
      <x:c r="O268" s="19" t="str">
        <x:v>Stage: before visit; intake form; referral; action: Uses structured triage and service directory to recommend ambulance/ED/UTC/out-of-hours GP/GP/pharmacist/self-care outcomes.</x:v>
      </x:c>
      <x:c r="P268" s="19" t="str"/>
      <x:c r="Q268" s="19" t="str"/>
      <x:c r="R268" s="19" t="str"/>
      <x:c r="S268" s="19" t="str">
        <x:v>medium</x:v>
      </x:c>
      <x:c r="T268" s="19" t="str">
        <x:v>02_extracted_evidence/facts.csv</x:v>
      </x:c>
      <x:c r="U268" s="19" t="str">
        <x:v>research_evidence_package_health_system_patient_flows_2026-05-30.tar.gz::02_extracted_evidence/facts.csv::F012</x:v>
      </x:c>
    </x:row>
    <x:row r="269">
      <x:c r="A269" s="19" t="str">
        <x:v>A_flows</x:v>
      </x:c>
      <x:c r="B269" s="19" t="str">
        <x:v>research_evidence_package_health_system_patient_flows_2026-05-30.tar.gz</x:v>
      </x:c>
      <x:c r="C269" s="19" t="str">
        <x:v>Research A / health-system patient flows</x:v>
      </x:c>
      <x:c r="D269" s="19" t="str">
        <x:v>fact</x:v>
      </x:c>
      <x:c r="E269" s="19" t="str">
        <x:v>F013</x:v>
      </x:c>
      <x:c r="F269" s="19" t="str">
        <x:v>S13</x:v>
      </x:c>
      <x:c r="G269" s="19" t="str">
        <x:v>Digital tools for online consultation in general practice</x:v>
      </x:c>
      <x:c r="H269" s="19" t="str">
        <x:v>https://www.hssib.org.uk/patient-safety-investigations/workforce-and-patient-safety/second-investigation-report/</x:v>
      </x:c>
      <x:c r="I269" s="19" t="str">
        <x:v>England</x:v>
      </x:c>
      <x:c r="J269" s="19" t="str">
        <x:v>telehealth</x:v>
      </x:c>
      <x:c r="K269" s="19" t="str">
        <x:v>digital access gap; incomplete history; no follow-up ownership; chronic illness invalidation</x:v>
      </x:c>
      <x:c r="L269" s="19" t="str"/>
      <x:c r="M269" s="19" t="str">
        <x:v>digital access gap; incomplete history; no follow-up ownership; chronic illness invalidation</x:v>
      </x:c>
      <x:c r="N269" s="19" t="str">
        <x:v>Online access can create a digital bottleneck and reduce the chance to observe/examine patients.</x:v>
      </x:c>
      <x:c r="O269" s="19" t="str">
        <x:v>Stage: before visit; intake form; first clinician assessment; follow-up; action: Asynchronous online consultations support clinical/admin requests but may be capped or rerouted by practices for safety.</x:v>
      </x:c>
      <x:c r="P269" s="19" t="str"/>
      <x:c r="Q269" s="19" t="str"/>
      <x:c r="R269" s="19" t="str"/>
      <x:c r="S269" s="19" t="str">
        <x:v>high</x:v>
      </x:c>
      <x:c r="T269" s="19" t="str">
        <x:v>02_extracted_evidence/facts.csv</x:v>
      </x:c>
      <x:c r="U269" s="19" t="str">
        <x:v>research_evidence_package_health_system_patient_flows_2026-05-30.tar.gz::02_extracted_evidence/facts.csv::F013</x:v>
      </x:c>
    </x:row>
    <x:row r="270">
      <x:c r="A270" s="19" t="str">
        <x:v>A_flows</x:v>
      </x:c>
      <x:c r="B270" s="19" t="str">
        <x:v>research_evidence_package_health_system_patient_flows_2026-05-30.tar.gz</x:v>
      </x:c>
      <x:c r="C270" s="19" t="str">
        <x:v>Research A / health-system patient flows</x:v>
      </x:c>
      <x:c r="D270" s="19" t="str">
        <x:v>fact</x:v>
      </x:c>
      <x:c r="E270" s="19" t="str">
        <x:v>F014</x:v>
      </x:c>
      <x:c r="F270" s="19" t="str">
        <x:v>S14</x:v>
      </x:c>
      <x:c r="G270" s="19" t="str">
        <x:v>Telehealth and Patient Safety</x:v>
      </x:c>
      <x:c r="H270" s="19" t="str">
        <x:v>https://psnet.ahrq.gov/primer/telehealth-and-patient-safety</x:v>
      </x:c>
      <x:c r="I270" s="19" t="str">
        <x:v>US / international</x:v>
      </x:c>
      <x:c r="J270" s="19" t="str">
        <x:v>telehealth</x:v>
      </x:c>
      <x:c r="K270" s="19" t="str">
        <x:v>normal-test trap; incomplete physical exam; poor follow-up ownership</x:v>
      </x:c>
      <x:c r="L270" s="19" t="str"/>
      <x:c r="M270" s="19" t="str">
        <x:v>normal-test trap; incomplete physical exam; poor follow-up ownership</x:v>
      </x:c>
      <x:c r="N270" s="19" t="str">
        <x:v>Telehealth changes the signal set available for diagnosis.</x:v>
      </x:c>
      <x:c r="O270" s="19" t="str">
        <x:v>Stage: medical history; physical exam; vitals; referral; follow-up; action: Telehealth can be safer when embedded in a medical home with records, tests, referrals and follow-up; risk rises when exam and communication are limited.</x:v>
      </x:c>
      <x:c r="P270" s="19" t="str"/>
      <x:c r="Q270" s="19" t="str"/>
      <x:c r="R270" s="19" t="str"/>
      <x:c r="S270" s="19" t="str">
        <x:v>high</x:v>
      </x:c>
      <x:c r="T270" s="19" t="str">
        <x:v>02_extracted_evidence/facts.csv</x:v>
      </x:c>
      <x:c r="U270" s="19" t="str">
        <x:v>research_evidence_package_health_system_patient_flows_2026-05-30.tar.gz::02_extracted_evidence/facts.csv::F014</x:v>
      </x:c>
    </x:row>
    <x:row r="271">
      <x:c r="A271" s="19" t="str">
        <x:v>A_flows</x:v>
      </x:c>
      <x:c r="B271" s="19" t="str">
        <x:v>research_evidence_package_health_system_patient_flows_2026-05-30.tar.gz</x:v>
      </x:c>
      <x:c r="C271" s="19" t="str">
        <x:v>Research A / health-system patient flows</x:v>
      </x:c>
      <x:c r="D271" s="19" t="str">
        <x:v>fact</x:v>
      </x:c>
      <x:c r="E271" s="19" t="str">
        <x:v>F015</x:v>
      </x:c>
      <x:c r="F271" s="19" t="str">
        <x:v>S15</x:v>
      </x:c>
      <x:c r="G271" s="19" t="str">
        <x:v>Modern General Practice Model</x:v>
      </x:c>
      <x:c r="H271" s="19" t="str">
        <x:v>https://www.england.nhs.uk/long-read/modern-general-practice-model/</x:v>
      </x:c>
      <x:c r="I271" s="19" t="str">
        <x:v>England</x:v>
      </x:c>
      <x:c r="J271" s="19" t="str">
        <x:v>primary care</x:v>
      </x:c>
      <x:c r="K271" s="19" t="str">
        <x:v>incomplete history; wrong specialty; no one connected the dots</x:v>
      </x:c>
      <x:c r="L271" s="19" t="str"/>
      <x:c r="M271" s="19" t="str">
        <x:v>incomplete history; wrong specialty; no one connected the dots</x:v>
      </x:c>
      <x:c r="N271" s="19" t="str">
        <x:v>Routing can optimize capacity but also become a diagnostic gate if symptoms are under-described.</x:v>
      </x:c>
      <x:c r="O271" s="19" t="str">
        <x:v>Stage: before visit; intake form; care navigation; first clinician assessment; action: Modern access model directs patients via phone/online/in-person to the right professional first time, using care navigation and demand/capacity management.</x:v>
      </x:c>
      <x:c r="P271" s="19" t="str"/>
      <x:c r="Q271" s="19" t="str"/>
      <x:c r="R271" s="19" t="str"/>
      <x:c r="S271" s="19" t="str">
        <x:v>high</x:v>
      </x:c>
      <x:c r="T271" s="19" t="str">
        <x:v>02_extracted_evidence/facts.csv</x:v>
      </x:c>
      <x:c r="U271" s="19" t="str">
        <x:v>research_evidence_package_health_system_patient_flows_2026-05-30.tar.gz::02_extracted_evidence/facts.csv::F015</x:v>
      </x:c>
    </x:row>
    <x:row r="272">
      <x:c r="A272" s="19" t="str">
        <x:v>A_flows</x:v>
      </x:c>
      <x:c r="B272" s="19" t="str">
        <x:v>research_evidence_package_health_system_patient_flows_2026-05-30.tar.gz</x:v>
      </x:c>
      <x:c r="C272" s="19" t="str">
        <x:v>Research A / health-system patient flows</x:v>
      </x:c>
      <x:c r="D272" s="19" t="str">
        <x:v>fact</x:v>
      </x:c>
      <x:c r="E272" s="19" t="str">
        <x:v>F016</x:v>
      </x:c>
      <x:c r="F272" s="19" t="str">
        <x:v>S16</x:v>
      </x:c>
      <x:c r="G272" s="19" t="str">
        <x:v>Care navigation and triage in general practice</x:v>
      </x:c>
      <x:c r="H272" s="19" t="str">
        <x:v>https://www.bma.org.uk/advice-and-support/gp-practices/gp-service-provision/care-navigation-and-triage-in-general-practice</x:v>
      </x:c>
      <x:c r="I272" s="19" t="str">
        <x:v>UK</x:v>
      </x:c>
      <x:c r="J272" s="19" t="str">
        <x:v>primary care</x:v>
      </x:c>
      <x:c r="K272" s="19" t="str">
        <x:v>poor handoff; symptom dismissed; red flag missed</x:v>
      </x:c>
      <x:c r="L272" s="19" t="str"/>
      <x:c r="M272" s="19" t="str">
        <x:v>poor handoff; symptom dismissed; red flag missed</x:v>
      </x:c>
      <x:c r="N272" s="19" t="str">
        <x:v>Ambiguity over whether a contact is administrative or clinical can lose risk signals.</x:v>
      </x:c>
      <x:c r="O272" s="19" t="str">
        <x:v>Stage: care navigation; clinical triage; referral; action: Care navigation signposts to appropriate clinician or service; clinical triage by nurse/GP makes early clinical decisions.</x:v>
      </x:c>
      <x:c r="P272" s="19" t="str"/>
      <x:c r="Q272" s="19" t="str"/>
      <x:c r="R272" s="19" t="str"/>
      <x:c r="S272" s="19" t="str">
        <x:v>medium</x:v>
      </x:c>
      <x:c r="T272" s="19" t="str">
        <x:v>02_extracted_evidence/facts.csv</x:v>
      </x:c>
      <x:c r="U272" s="19" t="str">
        <x:v>research_evidence_package_health_system_patient_flows_2026-05-30.tar.gz::02_extracted_evidence/facts.csv::F016</x:v>
      </x:c>
    </x:row>
    <x:row r="273">
      <x:c r="A273" s="19" t="str">
        <x:v>A_flows</x:v>
      </x:c>
      <x:c r="B273" s="19" t="str">
        <x:v>research_evidence_package_health_system_patient_flows_2026-05-30.tar.gz</x:v>
      </x:c>
      <x:c r="C273" s="19" t="str">
        <x:v>Research A / health-system patient flows</x:v>
      </x:c>
      <x:c r="D273" s="19" t="str">
        <x:v>fact</x:v>
      </x:c>
      <x:c r="E273" s="19" t="str">
        <x:v>F017</x:v>
      </x:c>
      <x:c r="F273" s="19" t="str">
        <x:v>S17</x:v>
      </x:c>
      <x:c r="G273" s="19" t="str">
        <x:v>Suspected cancer: recognition and referral (NG12)</x:v>
      </x:c>
      <x:c r="H273" s="19" t="str">
        <x:v>https://www.nice.org.uk/guidance/NG12/</x:v>
      </x:c>
      <x:c r="I273" s="19" t="str">
        <x:v>England/Wales</x:v>
      </x:c>
      <x:c r="J273" s="19" t="str">
        <x:v>primary care</x:v>
      </x:c>
      <x:c r="K273" s="19" t="str">
        <x:v>normal-test trap; referral delay; rare disease delay</x:v>
      </x:c>
      <x:c r="L273" s="19" t="str"/>
      <x:c r="M273" s="19" t="str">
        <x:v>normal-test trap; referral delay; rare disease delay</x:v>
      </x:c>
      <x:c r="N273" s="19" t="str">
        <x:v>Threshold pathways may leave low-risk but persistent symptoms in a monitoring black zone.</x:v>
      </x:c>
      <x:c r="O273" s="19" t="str">
        <x:v>Stage: medical history; physical exam; labs ordered; referral; safety netting; action: Guideline organizes referral/investigation actions by cancer site, symptom and findings; includes safety netting and diagnostic-process advice.</x:v>
      </x:c>
      <x:c r="P273" s="19" t="str"/>
      <x:c r="Q273" s="19" t="str"/>
      <x:c r="R273" s="19" t="str"/>
      <x:c r="S273" s="19" t="str">
        <x:v>high</x:v>
      </x:c>
      <x:c r="T273" s="19" t="str">
        <x:v>02_extracted_evidence/facts.csv</x:v>
      </x:c>
      <x:c r="U273" s="19" t="str">
        <x:v>research_evidence_package_health_system_patient_flows_2026-05-30.tar.gz::02_extracted_evidence/facts.csv::F017</x:v>
      </x:c>
    </x:row>
    <x:row r="274">
      <x:c r="A274" s="19" t="str">
        <x:v>A_flows</x:v>
      </x:c>
      <x:c r="B274" s="19" t="str">
        <x:v>research_evidence_package_health_system_patient_flows_2026-05-30.tar.gz</x:v>
      </x:c>
      <x:c r="C274" s="19" t="str">
        <x:v>Research A / health-system patient flows</x:v>
      </x:c>
      <x:c r="D274" s="19" t="str">
        <x:v>fact</x:v>
      </x:c>
      <x:c r="E274" s="19" t="str">
        <x:v>F018</x:v>
      </x:c>
      <x:c r="F274" s="19" t="str">
        <x:v>S18</x:v>
      </x:c>
      <x:c r="G274" s="19" t="str">
        <x:v>Safety netting</x:v>
      </x:c>
      <x:c r="H274" s="19" t="str">
        <x:v>https://www.cancerresearchuk.org/health-professional/diagnosis/primary-care/safety-netting</x:v>
      </x:c>
      <x:c r="I274" s="19" t="str">
        <x:v>UK</x:v>
      </x:c>
      <x:c r="J274" s="19" t="str">
        <x:v>primary care</x:v>
      </x:c>
      <x:c r="K274" s="19" t="str">
        <x:v>normal-test trap; no follow-up ownership; repeated visits ignored</x:v>
      </x:c>
      <x:c r="L274" s="19" t="str"/>
      <x:c r="M274" s="19" t="str">
        <x:v>normal-test trap; no follow-up ownership; repeated visits ignored</x:v>
      </x:c>
      <x:c r="N274" s="19" t="str">
        <x:v>A negative test can prematurely close a diagnostic episode.</x:v>
      </x:c>
      <x:c r="O274" s="19" t="str">
        <x:v>Stage: follow-up; repeat visit; diagnosis discussion; action: Safety-netting gives time-bound follow-up, documents advice, ensures tests/referrals completed and monitors persistent symptoms even after negative tests.</x:v>
      </x:c>
      <x:c r="P274" s="19" t="str"/>
      <x:c r="Q274" s="19" t="str"/>
      <x:c r="R274" s="19" t="str"/>
      <x:c r="S274" s="19" t="str">
        <x:v>medium</x:v>
      </x:c>
      <x:c r="T274" s="19" t="str">
        <x:v>02_extracted_evidence/facts.csv</x:v>
      </x:c>
      <x:c r="U274" s="19" t="str">
        <x:v>research_evidence_package_health_system_patient_flows_2026-05-30.tar.gz::02_extracted_evidence/facts.csv::F018</x:v>
      </x:c>
    </x:row>
    <x:row r="275">
      <x:c r="A275" s="19" t="str">
        <x:v>A_flows</x:v>
      </x:c>
      <x:c r="B275" s="19" t="str">
        <x:v>research_evidence_package_health_system_patient_flows_2026-05-30.tar.gz</x:v>
      </x:c>
      <x:c r="C275" s="19" t="str">
        <x:v>Research A / health-system patient flows</x:v>
      </x:c>
      <x:c r="D275" s="19" t="str">
        <x:v>fact</x:v>
      </x:c>
      <x:c r="E275" s="19" t="str">
        <x:v>F019</x:v>
      </x:c>
      <x:c r="F275" s="19" t="str">
        <x:v>S19</x:v>
      </x:c>
      <x:c r="G275" s="19" t="str">
        <x:v>GP mythbuster: managing test results in general practice</x:v>
      </x:c>
      <x:c r="H275" s="19" t="str">
        <x:v>https://www.cqc.org.uk/guidance-regulation/gps/gp-mythbusters</x:v>
      </x:c>
      <x:c r="I275" s="19" t="str">
        <x:v>England</x:v>
      </x:c>
      <x:c r="J275" s="19" t="str">
        <x:v>primary care</x:v>
      </x:c>
      <x:c r="K275" s="19" t="str">
        <x:v>abnormal result not followed up; documentation error; no follow-up ownership</x:v>
      </x:c>
      <x:c r="L275" s="19" t="str"/>
      <x:c r="M275" s="19" t="str">
        <x:v>abnormal result not followed up; documentation error; no follow-up ownership</x:v>
      </x:c>
      <x:c r="N275" s="19" t="str">
        <x:v>Test-result management crosses many people and organisations.</x:v>
      </x:c>
      <x:c r="O275" s="19" t="str">
        <x:v>Stage: labs ordered; lab interpretation; follow-up; action: Practice needs systems for ordering, tracking attendance, return/non-return, review, filing, patient communication and abnormal follow-up.</x:v>
      </x:c>
      <x:c r="P275" s="19" t="str"/>
      <x:c r="Q275" s="19" t="str"/>
      <x:c r="R275" s="19" t="str"/>
      <x:c r="S275" s="19" t="str">
        <x:v>high</x:v>
      </x:c>
      <x:c r="T275" s="19" t="str">
        <x:v>02_extracted_evidence/facts.csv</x:v>
      </x:c>
      <x:c r="U275" s="19" t="str">
        <x:v>research_evidence_package_health_system_patient_flows_2026-05-30.tar.gz::02_extracted_evidence/facts.csv::F019</x:v>
      </x:c>
    </x:row>
    <x:row r="276">
      <x:c r="A276" s="19" t="str">
        <x:v>A_flows</x:v>
      </x:c>
      <x:c r="B276" s="19" t="str">
        <x:v>research_evidence_package_health_system_patient_flows_2026-05-30.tar.gz</x:v>
      </x:c>
      <x:c r="C276" s="19" t="str">
        <x:v>Research A / health-system patient flows</x:v>
      </x:c>
      <x:c r="D276" s="19" t="str">
        <x:v>fact</x:v>
      </x:c>
      <x:c r="E276" s="19" t="str">
        <x:v>F020</x:v>
      </x:c>
      <x:c r="F276" s="19" t="str">
        <x:v>S20</x:v>
      </x:c>
      <x:c r="G276" s="19" t="str">
        <x:v>Continuity of care: delayed diagnosis in GP practices</x:v>
      </x:c>
      <x:c r="H276" s="19" t="str">
        <x:v>https://www.hssib.org.uk/patient-safety-investigations/continuity-of-care-delayed-diagnosis-in-gp-practices/investigation-report/pdf/</x:v>
      </x:c>
      <x:c r="I276" s="19" t="str">
        <x:v>England</x:v>
      </x:c>
      <x:c r="J276" s="19" t="str">
        <x:v>primary care</x:v>
      </x:c>
      <x:c r="K276" s="19" t="str">
        <x:v>fragmented care; no one connected the dots; missing family/history context; repeated visits ignored</x:v>
      </x:c>
      <x:c r="L276" s="19" t="str"/>
      <x:c r="M276" s="19" t="str">
        <x:v>fragmented care; no one connected the dots; missing family/history context; repeated visits ignored</x:v>
      </x:c>
      <x:c r="N276" s="19" t="str">
        <x:v>No one clinician/system connected the repeated back-pain presentations with prior cancer risk.</x:v>
      </x:c>
      <x:c r="O276" s="19" t="str">
        <x:v>Stage: repeat visit; medical history; specialist review; emergency escalation; action: Over 8 months the patient saw many clinicians; eventual GP found spinal lump and sent patient to ED where CT found metastatic cancer.</x:v>
      </x:c>
      <x:c r="P276" s="19" t="str"/>
      <x:c r="Q276" s="19" t="str"/>
      <x:c r="R276" s="19" t="str"/>
      <x:c r="S276" s="19" t="str">
        <x:v>high</x:v>
      </x:c>
      <x:c r="T276" s="19" t="str">
        <x:v>02_extracted_evidence/facts.csv</x:v>
      </x:c>
      <x:c r="U276" s="19" t="str">
        <x:v>research_evidence_package_health_system_patient_flows_2026-05-30.tar.gz::02_extracted_evidence/facts.csv::F020</x:v>
      </x:c>
    </x:row>
    <x:row r="277">
      <x:c r="A277" s="19" t="str">
        <x:v>A_flows</x:v>
      </x:c>
      <x:c r="B277" s="19" t="str">
        <x:v>research_evidence_package_health_system_patient_flows_2026-05-30.tar.gz</x:v>
      </x:c>
      <x:c r="C277" s="19" t="str">
        <x:v>Research A / health-system patient flows</x:v>
      </x:c>
      <x:c r="D277" s="19" t="str">
        <x:v>fact</x:v>
      </x:c>
      <x:c r="E277" s="19" t="str">
        <x:v>F021</x:v>
      </x:c>
      <x:c r="F277" s="19" t="str">
        <x:v>S21</x:v>
      </x:c>
      <x:c r="G277" s="19" t="str">
        <x:v>Jess's Rule: Three strikes and we rethink</x:v>
      </x:c>
      <x:c r="H277" s="19" t="str">
        <x:v>https://www.england.nhs.uk/long-read/jesss-rule-three-strikes-and-we-rethink/</x:v>
      </x:c>
      <x:c r="I277" s="19" t="str">
        <x:v>England</x:v>
      </x:c>
      <x:c r="J277" s="19" t="str">
        <x:v>primary care</x:v>
      </x:c>
      <x:c r="K277" s="19" t="str">
        <x:v>repeated visits ignored; no one connected the dots; bias or minimization</x:v>
      </x:c>
      <x:c r="L277" s="19" t="str"/>
      <x:c r="M277" s="19" t="str">
        <x:v>repeated visits ignored; no one connected the dots; bias or minimization</x:v>
      </x:c>
      <x:c r="N277" s="19" t="str">
        <x:v>Repeat visits are often visible only as isolated encounters.</x:v>
      </x:c>
      <x:c r="O277" s="19" t="str">
        <x:v>Stage: repeat visit; physical exam; referral; labs ordered; action: After three presentations, GP teams are prompted to reflect, review and rethink, consider face-to-face exam, second opinion, tests or referral.</x:v>
      </x:c>
      <x:c r="P277" s="19" t="str"/>
      <x:c r="Q277" s="19" t="str"/>
      <x:c r="R277" s="19" t="str"/>
      <x:c r="S277" s="19" t="str">
        <x:v>medium</x:v>
      </x:c>
      <x:c r="T277" s="19" t="str">
        <x:v>02_extracted_evidence/facts.csv</x:v>
      </x:c>
      <x:c r="U277" s="19" t="str">
        <x:v>research_evidence_package_health_system_patient_flows_2026-05-30.tar.gz::02_extracted_evidence/facts.csv::F021</x:v>
      </x:c>
    </x:row>
    <x:row r="278">
      <x:c r="A278" s="19" t="str">
        <x:v>A_flows</x:v>
      </x:c>
      <x:c r="B278" s="19" t="str">
        <x:v>research_evidence_package_health_system_patient_flows_2026-05-30.tar.gz</x:v>
      </x:c>
      <x:c r="C278" s="19" t="str">
        <x:v>Research A / health-system patient flows</x:v>
      </x:c>
      <x:c r="D278" s="19" t="str">
        <x:v>fact</x:v>
      </x:c>
      <x:c r="E278" s="19" t="str">
        <x:v>F022</x:v>
      </x:c>
      <x:c r="F278" s="19" t="str">
        <x:v>S22</x:v>
      </x:c>
      <x:c r="G278" s="19" t="str">
        <x:v>Years of being dismissed, ignored and belittled: Endometriosis UK diagnosis report</x:v>
      </x:c>
      <x:c r="H278" s="19" t="str">
        <x:v>https://www.endometriosis-uk.org/diagnosis-report</x:v>
      </x:c>
      <x:c r="I278" s="19" t="str">
        <x:v>UK</x:v>
      </x:c>
      <x:c r="J278" s="19" t="str">
        <x:v>primary care</x:v>
      </x:c>
      <x:c r="K278" s="19" t="str">
        <x:v>symptom dismissed; chronic illness invalidation; bias or minimization; patient self-advocacy required</x:v>
      </x:c>
      <x:c r="L278" s="19" t="str"/>
      <x:c r="M278" s="19" t="str">
        <x:v>symptom dismissed; chronic illness invalidation; bias or minimization; patient self-advocacy required</x:v>
      </x:c>
      <x:c r="N278" s="19" t="str">
        <x:v>Chronic pain and women's health symptoms can be minimized despite repeated presentations.</x:v>
      </x:c>
      <x:c r="O278" s="19" t="str">
        <x:v>Stage: medical history; referral; specialist review; repeat visit; action: Survey documented repeated GP visits and A&amp;E attendance before diagnosis; respondents reported dismissal/minimisation.</x:v>
      </x:c>
      <x:c r="P278" s="19" t="str"/>
      <x:c r="Q278" s="19" t="str"/>
      <x:c r="R278" s="19" t="str"/>
      <x:c r="S278" s="19" t="str">
        <x:v>medium</x:v>
      </x:c>
      <x:c r="T278" s="19" t="str">
        <x:v>02_extracted_evidence/facts.csv</x:v>
      </x:c>
      <x:c r="U278" s="19" t="str">
        <x:v>research_evidence_package_health_system_patient_flows_2026-05-30.tar.gz::02_extracted_evidence/facts.csv::F022</x:v>
      </x:c>
    </x:row>
    <x:row r="279">
      <x:c r="A279" s="19" t="str">
        <x:v>A_flows</x:v>
      </x:c>
      <x:c r="B279" s="19" t="str">
        <x:v>research_evidence_package_health_system_patient_flows_2026-05-30.tar.gz</x:v>
      </x:c>
      <x:c r="C279" s="19" t="str">
        <x:v>Research A / health-system patient flows</x:v>
      </x:c>
      <x:c r="D279" s="19" t="str">
        <x:v>fact</x:v>
      </x:c>
      <x:c r="E279" s="19" t="str">
        <x:v>F023</x:v>
      </x:c>
      <x:c r="F279" s="19" t="str">
        <x:v>S23</x:v>
      </x:c>
      <x:c r="G279" s="19" t="str">
        <x:v>The impact of waiting for care</x:v>
      </x:c>
      <x:c r="H279" s="19" t="str">
        <x:v>https://www.healthwatch.co.uk/report/2023-10-03/impact-waiting-care</x:v>
      </x:c>
      <x:c r="I279" s="19" t="str">
        <x:v>England</x:v>
      </x:c>
      <x:c r="J279" s="19" t="str">
        <x:v>primary care / specialist referral</x:v>
      </x:c>
      <x:c r="K279" s="19" t="str">
        <x:v>referral delay; no follow-up ownership; patient self-advocacy required</x:v>
      </x:c>
      <x:c r="L279" s="19" t="str"/>
      <x:c r="M279" s="19" t="str">
        <x:v>referral delay; no follow-up ownership; patient self-advocacy required</x:v>
      </x:c>
      <x:c r="N279" s="19" t="str">
        <x:v>Referral is not a completed action unless the patient is seen, tests are done and results acted on.</x:v>
      </x:c>
      <x:c r="O279" s="19" t="str">
        <x:v>Stage: referral; follow-up; lab interpretation; action: Healthwatch gathered patient reports of waiting after GP referral, confusion over results and pressure to chase.</x:v>
      </x:c>
      <x:c r="P279" s="19" t="str"/>
      <x:c r="Q279" s="19" t="str"/>
      <x:c r="R279" s="19" t="str"/>
      <x:c r="S279" s="19" t="str">
        <x:v>medium</x:v>
      </x:c>
      <x:c r="T279" s="19" t="str">
        <x:v>02_extracted_evidence/facts.csv</x:v>
      </x:c>
      <x:c r="U279" s="19" t="str">
        <x:v>research_evidence_package_health_system_patient_flows_2026-05-30.tar.gz::02_extracted_evidence/facts.csv::F023</x:v>
      </x:c>
    </x:row>
    <x:row r="280">
      <x:c r="A280" s="19" t="str">
        <x:v>A_flows</x:v>
      </x:c>
      <x:c r="B280" s="19" t="str">
        <x:v>research_evidence_package_health_system_patient_flows_2026-05-30.tar.gz</x:v>
      </x:c>
      <x:c r="C280" s="19" t="str">
        <x:v>Research A / health-system patient flows</x:v>
      </x:c>
      <x:c r="D280" s="19" t="str">
        <x:v>fact</x:v>
      </x:c>
      <x:c r="E280" s="19" t="str">
        <x:v>F024</x:v>
      </x:c>
      <x:c r="F280" s="19" t="str">
        <x:v>S24</x:v>
      </x:c>
      <x:c r="G280" s="19" t="str">
        <x:v>Patients being harmed due to repeated mistakes in reading scans</x:v>
      </x:c>
      <x:c r="H280" s="19" t="str">
        <x:v>https://www.ombudsman.org.uk/news-and-blog/news/patients-being-harmed-due-repeated-mistakes-reading-scans</x:v>
      </x:c>
      <x:c r="I280" s="19" t="str">
        <x:v>England</x:v>
      </x:c>
      <x:c r="J280" s="19" t="str">
        <x:v>hospital outpatient / imaging / ED</x:v>
      </x:c>
      <x:c r="K280" s="19" t="str">
        <x:v>abnormal result not followed up; red flag missed; repeated visits ignored</x:v>
      </x:c>
      <x:c r="L280" s="19" t="str"/>
      <x:c r="M280" s="19" t="str">
        <x:v>abnormal result not followed up; red flag missed; repeated visits ignored</x:v>
      </x:c>
      <x:c r="N280" s="19" t="str">
        <x:v>Imaging workflows fail at multiple points: ordering, performance, interpretation, communication, follow-up.</x:v>
      </x:c>
      <x:c r="O280" s="19" t="str">
        <x:v>Stage: imaging ordered; lab interpretation; follow-up; emergency return; action: Ombudsman reported repeated failures in scan reading, carrying out scans and follow-up; a cancer case was only identified at a fifth A&amp;E visit after lesion not reported.</x:v>
      </x:c>
      <x:c r="P280" s="19" t="str"/>
      <x:c r="Q280" s="19" t="str"/>
      <x:c r="R280" s="19" t="str"/>
      <x:c r="S280" s="19" t="str">
        <x:v>high</x:v>
      </x:c>
      <x:c r="T280" s="19" t="str">
        <x:v>02_extracted_evidence/facts.csv</x:v>
      </x:c>
      <x:c r="U280" s="19" t="str">
        <x:v>research_evidence_package_health_system_patient_flows_2026-05-30.tar.gz::02_extracted_evidence/facts.csv::F024</x:v>
      </x:c>
    </x:row>
    <x:row r="281">
      <x:c r="A281" s="19" t="str">
        <x:v>A_flows</x:v>
      </x:c>
      <x:c r="B281" s="19" t="str">
        <x:v>research_evidence_package_health_system_patient_flows_2026-05-30.tar.gz</x:v>
      </x:c>
      <x:c r="C281" s="19" t="str">
        <x:v>Research A / health-system patient flows</x:v>
      </x:c>
      <x:c r="D281" s="19" t="str">
        <x:v>fact</x:v>
      </x:c>
      <x:c r="E281" s="19" t="str">
        <x:v>F025</x:v>
      </x:c>
      <x:c r="F281" s="19" t="str">
        <x:v>S25</x:v>
      </x:c>
      <x:c r="G281" s="19" t="str">
        <x:v>Failures in communication or follow-up of unexpected significant radiological findings</x:v>
      </x:c>
      <x:c r="H281" s="19" t="str">
        <x:v>https://www.hssib.org.uk/patient-safety-investigations/failures-in-communication-or-follow-up-of-unexpected-significant-radiological-findings/</x:v>
      </x:c>
      <x:c r="I281" s="19" t="str">
        <x:v>England</x:v>
      </x:c>
      <x:c r="J281" s="19" t="str">
        <x:v>radiology / ED / primary care</x:v>
      </x:c>
      <x:c r="K281" s="19" t="str">
        <x:v>poor handoff; abnormal result not followed up; no follow-up ownership</x:v>
      </x:c>
      <x:c r="L281" s="19" t="str"/>
      <x:c r="M281" s="19" t="str">
        <x:v>poor handoff; abnormal result not followed up; no follow-up ownership</x:v>
      </x:c>
      <x:c r="N281" s="19" t="str">
        <x:v>Responsibility can diffuse between radiology, ED, GP and patient.</x:v>
      </x:c>
      <x:c r="O281" s="19" t="str">
        <x:v>Stage: imaging ordered; imaging interpretation; discharge; follow-up; action: Investigation traced multistep communication of unexpected significant findings and weak assurance that action occurred.</x:v>
      </x:c>
      <x:c r="P281" s="19" t="str"/>
      <x:c r="Q281" s="19" t="str"/>
      <x:c r="R281" s="19" t="str"/>
      <x:c r="S281" s="19" t="str">
        <x:v>high</x:v>
      </x:c>
      <x:c r="T281" s="19" t="str">
        <x:v>02_extracted_evidence/facts.csv</x:v>
      </x:c>
      <x:c r="U281" s="19" t="str">
        <x:v>research_evidence_package_health_system_patient_flows_2026-05-30.tar.gz::02_extracted_evidence/facts.csv::F025</x:v>
      </x:c>
    </x:row>
    <x:row r="282">
      <x:c r="A282" s="19" t="str">
        <x:v>A_flows</x:v>
      </x:c>
      <x:c r="B282" s="19" t="str">
        <x:v>research_evidence_package_health_system_patient_flows_2026-05-30.tar.gz</x:v>
      </x:c>
      <x:c r="C282" s="19" t="str">
        <x:v>Research A / health-system patient flows</x:v>
      </x:c>
      <x:c r="D282" s="19" t="str">
        <x:v>fact</x:v>
      </x:c>
      <x:c r="E282" s="19" t="str">
        <x:v>F026</x:v>
      </x:c>
      <x:c r="F282" s="19" t="str">
        <x:v>S26</x:v>
      </x:c>
      <x:c r="G282" s="19" t="str">
        <x:v>Core Elements of Hospital Diagnostic Excellence</x:v>
      </x:c>
      <x:c r="H282" s="19" t="str">
        <x:v>https://www.cdc.gov/patient-safety/hcp/hospital-dx-excellence/index.html</x:v>
      </x:c>
      <x:c r="I282" s="19" t="str">
        <x:v>US</x:v>
      </x:c>
      <x:c r="J282" s="19" t="str">
        <x:v>inpatient ward / hospital outpatient</x:v>
      </x:c>
      <x:c r="K282" s="19" t="str">
        <x:v>poor handoff; no follow-up ownership; abnormal result not followed up</x:v>
      </x:c>
      <x:c r="L282" s="19" t="str"/>
      <x:c r="M282" s="19" t="str">
        <x:v>poor handoff; no follow-up ownership; abnormal result not followed up</x:v>
      </x:c>
      <x:c r="N282" s="19" t="str">
        <x:v>Discharge can sever ownership of pending results.</x:v>
      </x:c>
      <x:c r="O282" s="19" t="str">
        <x:v>Stage: discharge; follow-up; imaging/lab interpretation; action: Hospital diagnostic excellence framework encourages targeting pending tests and suspicious imaging follow-up.</x:v>
      </x:c>
      <x:c r="P282" s="19" t="str"/>
      <x:c r="Q282" s="19" t="str"/>
      <x:c r="R282" s="19" t="str"/>
      <x:c r="S282" s="19" t="str">
        <x:v>high</x:v>
      </x:c>
      <x:c r="T282" s="19" t="str">
        <x:v>02_extracted_evidence/facts.csv</x:v>
      </x:c>
      <x:c r="U282" s="19" t="str">
        <x:v>research_evidence_package_health_system_patient_flows_2026-05-30.tar.gz::02_extracted_evidence/facts.csv::F026</x:v>
      </x:c>
    </x:row>
    <x:row r="283">
      <x:c r="A283" s="19" t="str">
        <x:v>A_flows</x:v>
      </x:c>
      <x:c r="B283" s="19" t="str">
        <x:v>research_evidence_package_health_system_patient_flows_2026-05-30.tar.gz</x:v>
      </x:c>
      <x:c r="C283" s="19" t="str">
        <x:v>Research A / health-system patient flows</x:v>
      </x:c>
      <x:c r="D283" s="19" t="str">
        <x:v>fact</x:v>
      </x:c>
      <x:c r="E283" s="19" t="str">
        <x:v>F027</x:v>
      </x:c>
      <x:c r="F283" s="19" t="str">
        <x:v>S27</x:v>
      </x:c>
      <x:c r="G283" s="19" t="str">
        <x:v>Referral Assessment Services - NHS e-Referral Service</x:v>
      </x:c>
      <x:c r="H283" s="19" t="str">
        <x:v>https://digital.nhs.uk/services/e-referral-service/document-library/referral-assessment-services</x:v>
      </x:c>
      <x:c r="I283" s="19" t="str">
        <x:v>England</x:v>
      </x:c>
      <x:c r="J283" s="19" t="str">
        <x:v>specialist clinic</x:v>
      </x:c>
      <x:c r="K283" s="19" t="str">
        <x:v>wrong specialty; referral delay; poor handoff</x:v>
      </x:c>
      <x:c r="L283" s="19" t="str"/>
      <x:c r="M283" s="19" t="str">
        <x:v>wrong specialty; referral delay; poor handoff</x:v>
      </x:c>
      <x:c r="N283" s="19" t="str">
        <x:v>Referral triage creates a new work queue where responsibility can be unclear to patient and referrer.</x:v>
      </x:c>
      <x:c r="O283" s="19" t="str">
        <x:v>Stage: referral; specialist review; follow-up; action: Referral Assessment Services allow provider review before booking; outcomes include booking, redirecting, requesting more info, or returning advice.</x:v>
      </x:c>
      <x:c r="P283" s="19" t="str"/>
      <x:c r="Q283" s="19" t="str"/>
      <x:c r="R283" s="19" t="str"/>
      <x:c r="S283" s="19" t="str">
        <x:v>high</x:v>
      </x:c>
      <x:c r="T283" s="19" t="str">
        <x:v>02_extracted_evidence/facts.csv</x:v>
      </x:c>
      <x:c r="U283" s="19" t="str">
        <x:v>research_evidence_package_health_system_patient_flows_2026-05-30.tar.gz::02_extracted_evidence/facts.csv::F027</x:v>
      </x:c>
    </x:row>
    <x:row r="284">
      <x:c r="A284" s="19" t="str">
        <x:v>A_flows</x:v>
      </x:c>
      <x:c r="B284" s="19" t="str">
        <x:v>research_evidence_package_health_system_patient_flows_2026-05-30.tar.gz</x:v>
      </x:c>
      <x:c r="C284" s="19" t="str">
        <x:v>Research A / health-system patient flows</x:v>
      </x:c>
      <x:c r="D284" s="19" t="str">
        <x:v>fact</x:v>
      </x:c>
      <x:c r="E284" s="19" t="str">
        <x:v>F028</x:v>
      </x:c>
      <x:c r="F284" s="19" t="str">
        <x:v>S28</x:v>
      </x:c>
      <x:c r="G284" s="19" t="str">
        <x:v>Diagnostic services - NHS e-Referral Service</x:v>
      </x:c>
      <x:c r="H284" s="19" t="str">
        <x:v>https://digital.nhs.uk/services/e-referral-service/document-library/diagnostic-services</x:v>
      </x:c>
      <x:c r="I284" s="19" t="str">
        <x:v>England</x:v>
      </x:c>
      <x:c r="J284" s="19" t="str">
        <x:v>hospital outpatient / diagnostic services</x:v>
      </x:c>
      <x:c r="K284" s="19" t="str">
        <x:v>incomplete history; wrong specialty; documentation error</x:v>
      </x:c>
      <x:c r="L284" s="19" t="str"/>
      <x:c r="M284" s="19" t="str">
        <x:v>incomplete history; wrong specialty; documentation error</x:v>
      </x:c>
      <x:c r="N284" s="19" t="str">
        <x:v>Straight-to-test pathways are efficient only when referral information is complete.</x:v>
      </x:c>
      <x:c r="O284" s="19" t="str">
        <x:v>Stage: referral; imaging ordered; labs ordered; specialist review; action: Diagnostic e-RS models include direct-to-test, clinical assessment then test, and one-stop consultant-led models.</x:v>
      </x:c>
      <x:c r="P284" s="19" t="str"/>
      <x:c r="Q284" s="19" t="str"/>
      <x:c r="R284" s="19" t="str"/>
      <x:c r="S284" s="19" t="str">
        <x:v>medium</x:v>
      </x:c>
      <x:c r="T284" s="19" t="str">
        <x:v>02_extracted_evidence/facts.csv</x:v>
      </x:c>
      <x:c r="U284" s="19" t="str">
        <x:v>research_evidence_package_health_system_patient_flows_2026-05-30.tar.gz::02_extracted_evidence/facts.csv::F028</x:v>
      </x:c>
    </x:row>
    <x:row r="285">
      <x:c r="A285" s="19" t="str">
        <x:v>A_flows</x:v>
      </x:c>
      <x:c r="B285" s="19" t="str">
        <x:v>research_evidence_package_health_system_patient_flows_2026-05-30.tar.gz</x:v>
      </x:c>
      <x:c r="C285" s="19" t="str">
        <x:v>Research A / health-system patient flows</x:v>
      </x:c>
      <x:c r="D285" s="19" t="str">
        <x:v>fact</x:v>
      </x:c>
      <x:c r="E285" s="19" t="str">
        <x:v>F029</x:v>
      </x:c>
      <x:c r="F285" s="19" t="str">
        <x:v>S29</x:v>
      </x:c>
      <x:c r="G285" s="19" t="str">
        <x:v>Outpatient recovery and transformation improvement guide</x:v>
      </x:c>
      <x:c r="H285" s="19" t="str">
        <x:v>https://www.england.nhs.uk/long-read/outpatient-recovery-and-transformation-improvement-guide/</x:v>
      </x:c>
      <x:c r="I285" s="19" t="str">
        <x:v>England</x:v>
      </x:c>
      <x:c r="J285" s="19" t="str">
        <x:v>hospital outpatient / specialist clinic</x:v>
      </x:c>
      <x:c r="K285" s="19" t="str">
        <x:v>referral delay; no follow-up ownership; normal-test trap</x:v>
      </x:c>
      <x:c r="L285" s="19" t="str"/>
      <x:c r="M285" s="19" t="str">
        <x:v>referral delay; no follow-up ownership; normal-test trap</x:v>
      </x:c>
      <x:c r="N285" s="19" t="str">
        <x:v>Advice can reduce unnecessary appointments but must not become a soft rejection of unresolved symptoms.</x:v>
      </x:c>
      <x:c r="O285" s="19" t="str">
        <x:v>Stage: referral; specialist review; imaging/labs ordered; follow-up; action: Improvement guide promotes advice/guidance, straight-to-test, pre-appointment hubs; one GI case cut waits through advice and e-RS.</x:v>
      </x:c>
      <x:c r="P285" s="19" t="str"/>
      <x:c r="Q285" s="19" t="str"/>
      <x:c r="R285" s="19" t="str"/>
      <x:c r="S285" s="19" t="str">
        <x:v>medium</x:v>
      </x:c>
      <x:c r="T285" s="19" t="str">
        <x:v>02_extracted_evidence/facts.csv</x:v>
      </x:c>
      <x:c r="U285" s="19" t="str">
        <x:v>research_evidence_package_health_system_patient_flows_2026-05-30.tar.gz::02_extracted_evidence/facts.csv::F029</x:v>
      </x:c>
    </x:row>
    <x:row r="286">
      <x:c r="A286" s="19" t="str">
        <x:v>A_flows</x:v>
      </x:c>
      <x:c r="B286" s="19" t="str">
        <x:v>research_evidence_package_health_system_patient_flows_2026-05-30.tar.gz</x:v>
      </x:c>
      <x:c r="C286" s="19" t="str">
        <x:v>Research A / health-system patient flows</x:v>
      </x:c>
      <x:c r="D286" s="19" t="str">
        <x:v>fact</x:v>
      </x:c>
      <x:c r="E286" s="19" t="str">
        <x:v>F030</x:v>
      </x:c>
      <x:c r="F286" s="19" t="str">
        <x:v>S30</x:v>
      </x:c>
      <x:c r="G286" s="19" t="str">
        <x:v>Health Center Program Compliance Manual: Continuity of Care and Hospital Admitting</x:v>
      </x:c>
      <x:c r="H286" s="19" t="str">
        <x:v>https://bphc.hrsa.gov/compliance/compliance-manual/chapter7</x:v>
      </x:c>
      <x:c r="I286" s="19" t="str">
        <x:v>US</x:v>
      </x:c>
      <x:c r="J286" s="19" t="str">
        <x:v>community health center</x:v>
      </x:c>
      <x:c r="K286" s="19" t="str">
        <x:v>poor handoff; fragmented care; no follow-up ownership</x:v>
      </x:c>
      <x:c r="L286" s="19" t="str"/>
      <x:c r="M286" s="19" t="str">
        <x:v>poor handoff; fragmented care; no follow-up ownership</x:v>
      </x:c>
      <x:c r="N286" s="19" t="str">
        <x:v>Safety-net clinics may be responsible for follow-up despite care occurring elsewhere.</x:v>
      </x:c>
      <x:c r="O286" s="19" t="str">
        <x:v>Stage: referral; discharge; follow-up; action: Health centers must have referral/hospital arrangements and processes to receive/record ED or hospital visit information and follow-up actions.</x:v>
      </x:c>
      <x:c r="P286" s="19" t="str"/>
      <x:c r="Q286" s="19" t="str"/>
      <x:c r="R286" s="19" t="str"/>
      <x:c r="S286" s="19" t="str">
        <x:v>high</x:v>
      </x:c>
      <x:c r="T286" s="19" t="str">
        <x:v>02_extracted_evidence/facts.csv</x:v>
      </x:c>
      <x:c r="U286" s="19" t="str">
        <x:v>research_evidence_package_health_system_patient_flows_2026-05-30.tar.gz::02_extracted_evidence/facts.csv::F030</x:v>
      </x:c>
    </x:row>
    <x:row r="287">
      <x:c r="A287" s="19" t="str">
        <x:v>A_flows</x:v>
      </x:c>
      <x:c r="B287" s="19" t="str">
        <x:v>research_evidence_package_health_system_patient_flows_2026-05-30.tar.gz</x:v>
      </x:c>
      <x:c r="C287" s="19" t="str">
        <x:v>Research A / health-system patient flows</x:v>
      </x:c>
      <x:c r="D287" s="19" t="str">
        <x:v>fact</x:v>
      </x:c>
      <x:c r="E287" s="19" t="str">
        <x:v>F031</x:v>
      </x:c>
      <x:c r="F287" s="19" t="str">
        <x:v>S31</x:v>
      </x:c>
      <x:c r="G287" s="19" t="str">
        <x:v>Health Center Program: Patient-Centered Medical Home</x:v>
      </x:c>
      <x:c r="H287" s="19" t="str">
        <x:v>https://bphc.hrsa.gov/technical-assistance/clinical-quality-improvement/patient-centered-medical-home</x:v>
      </x:c>
      <x:c r="I287" s="19" t="str">
        <x:v>US</x:v>
      </x:c>
      <x:c r="J287" s="19" t="str">
        <x:v>community health center</x:v>
      </x:c>
      <x:c r="K287" s="19" t="str">
        <x:v>fragmented care; no follow-up ownership</x:v>
      </x:c>
      <x:c r="L287" s="19" t="str"/>
      <x:c r="M287" s="19" t="str">
        <x:v>fragmented care; no follow-up ownership</x:v>
      </x:c>
      <x:c r="N287" s="19" t="str">
        <x:v>Coordination is a model, not a closed-loop diagnostic guarantee.</x:v>
      </x:c>
      <x:c r="O287" s="19" t="str">
        <x:v>Stage: long-term monitoring; follow-up; referral; action: PCMH recognition emphasizes care coordination and continuous quality improvement in health centers.</x:v>
      </x:c>
      <x:c r="P287" s="19" t="str"/>
      <x:c r="Q287" s="19" t="str"/>
      <x:c r="R287" s="19" t="str"/>
      <x:c r="S287" s="19" t="str">
        <x:v>medium</x:v>
      </x:c>
      <x:c r="T287" s="19" t="str">
        <x:v>02_extracted_evidence/facts.csv</x:v>
      </x:c>
      <x:c r="U287" s="19" t="str">
        <x:v>research_evidence_package_health_system_patient_flows_2026-05-30.tar.gz::02_extracted_evidence/facts.csv::F031</x:v>
      </x:c>
    </x:row>
    <x:row r="288">
      <x:c r="A288" s="19" t="str">
        <x:v>A_flows</x:v>
      </x:c>
      <x:c r="B288" s="19" t="str">
        <x:v>research_evidence_package_health_system_patient_flows_2026-05-30.tar.gz</x:v>
      </x:c>
      <x:c r="C288" s="19" t="str">
        <x:v>Research A / health-system patient flows</x:v>
      </x:c>
      <x:c r="D288" s="19" t="str">
        <x:v>fact</x:v>
      </x:c>
      <x:c r="E288" s="19" t="str">
        <x:v>F032</x:v>
      </x:c>
      <x:c r="F288" s="19" t="str">
        <x:v>S32</x:v>
      </x:c>
      <x:c r="G288" s="19" t="str">
        <x:v>Reach and effectiveness of a centralized navigation program for patients with positive FITs</x:v>
      </x:c>
      <x:c r="H288" s="19" t="str">
        <x:v>https://www.sciencedirect.com/science/article/pii/S221133552300102X</x:v>
      </x:c>
      <x:c r="I288" s="19" t="str">
        <x:v>US: North Carolina</x:v>
      </x:c>
      <x:c r="J288" s="19" t="str">
        <x:v>community health center / public health screening</x:v>
      </x:c>
      <x:c r="K288" s="19" t="str">
        <x:v>abnormal result not followed up; patient self-advocacy required; no follow-up ownership</x:v>
      </x:c>
      <x:c r="L288" s="19" t="str"/>
      <x:c r="M288" s="19" t="str">
        <x:v>abnormal result not followed up; patient self-advocacy required; no follow-up ownership</x:v>
      </x:c>
      <x:c r="N288" s="19" t="str">
        <x:v>Abnormal screening is only useful if diagnostic colonoscopy happens.</x:v>
      </x:c>
      <x:c r="O288" s="19" t="str">
        <x:v>Stage: public health screening; lab interpretation; referral; follow-up; action: Mailed FIT outreach identified abnormal results; centralized patient navigation addressed informational, emotional, financial and transport barriers to colonoscopy.</x:v>
      </x:c>
      <x:c r="P288" s="19" t="str"/>
      <x:c r="Q288" s="19" t="str"/>
      <x:c r="R288" s="19" t="str"/>
      <x:c r="S288" s="19" t="str">
        <x:v>medium</x:v>
      </x:c>
      <x:c r="T288" s="19" t="str">
        <x:v>02_extracted_evidence/facts.csv</x:v>
      </x:c>
      <x:c r="U288" s="19" t="str">
        <x:v>research_evidence_package_health_system_patient_flows_2026-05-30.tar.gz::02_extracted_evidence/facts.csv::F032</x:v>
      </x:c>
    </x:row>
    <x:row r="289">
      <x:c r="A289" s="19" t="str">
        <x:v>A_flows</x:v>
      </x:c>
      <x:c r="B289" s="19" t="str">
        <x:v>research_evidence_package_health_system_patient_flows_2026-05-30.tar.gz</x:v>
      </x:c>
      <x:c r="C289" s="19" t="str">
        <x:v>Research A / health-system patient flows</x:v>
      </x:c>
      <x:c r="D289" s="19" t="str">
        <x:v>fact</x:v>
      </x:c>
      <x:c r="E289" s="19" t="str">
        <x:v>F033</x:v>
      </x:c>
      <x:c r="F289" s="19" t="str">
        <x:v>S33</x:v>
      </x:c>
      <x:c r="G289" s="19" t="str">
        <x:v>Implementing a successful patient navigation program for follow-up colonoscopy after abnormal FIT</x:v>
      </x:c>
      <x:c r="H289" s="19" t="str">
        <x:v>https://journals.plos.org/plosone/article?id=10.1371/journal.pone.0343659</x:v>
      </x:c>
      <x:c r="I289" s="19" t="str">
        <x:v>US: Washington state</x:v>
      </x:c>
      <x:c r="J289" s="19" t="str">
        <x:v>community health center / screening</x:v>
      </x:c>
      <x:c r="K289" s="19" t="str">
        <x:v>referral delay; fragmented care; documentation error</x:v>
      </x:c>
      <x:c r="L289" s="19" t="str"/>
      <x:c r="M289" s="19" t="str">
        <x:v>referral delay; fragmented care; documentation error</x:v>
      </x:c>
      <x:c r="N289" s="19" t="str">
        <x:v>Navigation fails if it is not staffed, documented, partnered and tracked.</x:v>
      </x:c>
      <x:c r="O289" s="19" t="str">
        <x:v>Stage: public health screening; referral; follow-up; action: PRECISE trial implementation support trained navigators and documented challenges in workload, documentation, partnerships and tracking.</x:v>
      </x:c>
      <x:c r="P289" s="19" t="str"/>
      <x:c r="Q289" s="19" t="str"/>
      <x:c r="R289" s="19" t="str"/>
      <x:c r="S289" s="19" t="str">
        <x:v>medium</x:v>
      </x:c>
      <x:c r="T289" s="19" t="str">
        <x:v>02_extracted_evidence/facts.csv</x:v>
      </x:c>
      <x:c r="U289" s="19" t="str">
        <x:v>research_evidence_package_health_system_patient_flows_2026-05-30.tar.gz::02_extracted_evidence/facts.csv::F033</x:v>
      </x:c>
    </x:row>
    <x:row r="290">
      <x:c r="A290" s="19" t="str">
        <x:v>A_flows</x:v>
      </x:c>
      <x:c r="B290" s="19" t="str">
        <x:v>research_evidence_package_health_system_patient_flows_2026-05-30.tar.gz</x:v>
      </x:c>
      <x:c r="C290" s="19" t="str">
        <x:v>Research A / health-system patient flows</x:v>
      </x:c>
      <x:c r="D290" s="19" t="str">
        <x:v>fact</x:v>
      </x:c>
      <x:c r="E290" s="19" t="str">
        <x:v>F034</x:v>
      </x:c>
      <x:c r="F290" s="19" t="str">
        <x:v>S34</x:v>
      </x:c>
      <x:c r="G290" s="19" t="str">
        <x:v>Bowel cancer screening</x:v>
      </x:c>
      <x:c r="H290" s="19" t="str">
        <x:v>https://www.nhs.uk/tests-and-treatments/bowel-cancer-screening/</x:v>
      </x:c>
      <x:c r="I290" s="19" t="str">
        <x:v>England</x:v>
      </x:c>
      <x:c r="J290" s="19" t="str">
        <x:v>public health screening</x:v>
      </x:c>
      <x:c r="K290" s="19" t="str">
        <x:v>normal-test trap; no follow-up ownership</x:v>
      </x:c>
      <x:c r="L290" s="19" t="str"/>
      <x:c r="M290" s="19" t="str">
        <x:v>normal-test trap; no follow-up ownership</x:v>
      </x:c>
      <x:c r="N290" s="19" t="str">
        <x:v>Screening can create false reassurance if symptoms are separated from screening result interpretation.</x:v>
      </x:c>
      <x:c r="O290" s="19" t="str">
        <x:v>Stage: before visit; public health screening; lab interpretation; referral; follow-up; action: Eligible people receive FIT at home; results usually within 2 weeks; further tests lead to specialist nurse and usually colonoscopy; negative screen does not rule out cancer if symptoms occur.</x:v>
      </x:c>
      <x:c r="P290" s="19" t="str"/>
      <x:c r="Q290" s="19" t="str"/>
      <x:c r="R290" s="19" t="str"/>
      <x:c r="S290" s="19" t="str">
        <x:v>high</x:v>
      </x:c>
      <x:c r="T290" s="19" t="str">
        <x:v>02_extracted_evidence/facts.csv</x:v>
      </x:c>
      <x:c r="U290" s="19" t="str">
        <x:v>research_evidence_package_health_system_patient_flows_2026-05-30.tar.gz::02_extracted_evidence/facts.csv::F034</x:v>
      </x:c>
    </x:row>
    <x:row r="291">
      <x:c r="A291" s="19" t="str">
        <x:v>A_flows</x:v>
      </x:c>
      <x:c r="B291" s="19" t="str">
        <x:v>research_evidence_package_health_system_patient_flows_2026-05-30.tar.gz</x:v>
      </x:c>
      <x:c r="C291" s="19" t="str">
        <x:v>Research A / health-system patient flows</x:v>
      </x:c>
      <x:c r="D291" s="19" t="str">
        <x:v>fact</x:v>
      </x:c>
      <x:c r="E291" s="19" t="str">
        <x:v>F035</x:v>
      </x:c>
      <x:c r="F291" s="19" t="str">
        <x:v>S35</x:v>
      </x:c>
      <x:c r="G291" s="19" t="str">
        <x:v>Breast screening programme: pathway requirements</x:v>
      </x:c>
      <x:c r="H291" s="19" t="str">
        <x:v>https://www.gov.uk/government/publications/breast-screening-programme-pathway-requirements/breast-screening-programme-pathway-requirements</x:v>
      </x:c>
      <x:c r="I291" s="19" t="str">
        <x:v>England</x:v>
      </x:c>
      <x:c r="J291" s="19" t="str">
        <x:v>public health screening</x:v>
      </x:c>
      <x:c r="K291" s="19" t="str">
        <x:v>no follow-up ownership; abnormal result not followed up; patient self-advocacy required</x:v>
      </x:c>
      <x:c r="L291" s="19" t="str"/>
      <x:c r="M291" s="19" t="str">
        <x:v>no follow-up ownership; abnormal result not followed up; patient self-advocacy required</x:v>
      </x:c>
      <x:c r="N291" s="19" t="str">
        <x:v>Population screening has a built-in non-attendance black zone.</x:v>
      </x:c>
      <x:c r="O291" s="19" t="str">
        <x:v>Stage: before visit; public health screening; imaging ordered; imaging interpretation; specialist review; action: Programme sends invitations, performs mammography, recalls non-attenders/technical failures, and sends abnormal cases to assessment clinic/MDT.</x:v>
      </x:c>
      <x:c r="P291" s="19" t="str"/>
      <x:c r="Q291" s="19" t="str"/>
      <x:c r="R291" s="19" t="str"/>
      <x:c r="S291" s="19" t="str">
        <x:v>high</x:v>
      </x:c>
      <x:c r="T291" s="19" t="str">
        <x:v>02_extracted_evidence/facts.csv</x:v>
      </x:c>
      <x:c r="U291" s="19" t="str">
        <x:v>research_evidence_package_health_system_patient_flows_2026-05-30.tar.gz::02_extracted_evidence/facts.csv::F035</x:v>
      </x:c>
    </x:row>
    <x:row r="292">
      <x:c r="A292" s="19" t="str">
        <x:v>A_flows</x:v>
      </x:c>
      <x:c r="B292" s="19" t="str">
        <x:v>research_evidence_package_health_system_patient_flows_2026-05-30.tar.gz</x:v>
      </x:c>
      <x:c r="C292" s="19" t="str">
        <x:v>Research A / health-system patient flows</x:v>
      </x:c>
      <x:c r="D292" s="19" t="str">
        <x:v>fact</x:v>
      </x:c>
      <x:c r="E292" s="19" t="str">
        <x:v>F036</x:v>
      </x:c>
      <x:c r="F292" s="19" t="str">
        <x:v>S37</x:v>
      </x:c>
      <x:c r="G292" s="19" t="str">
        <x:v>Patient Navigation</x:v>
      </x:c>
      <x:c r="H292" s="19" t="str">
        <x:v>https://www.cdc.gov/cancer/php/interventions/patient-navigation.html</x:v>
      </x:c>
      <x:c r="I292" s="19" t="str">
        <x:v>US</x:v>
      </x:c>
      <x:c r="J292" s="19" t="str">
        <x:v>public health screening / community</x:v>
      </x:c>
      <x:c r="K292" s="19" t="str">
        <x:v>fragmented care; patient self-advocacy required; referral delay</x:v>
      </x:c>
      <x:c r="L292" s="19" t="str"/>
      <x:c r="M292" s="19" t="str">
        <x:v>fragmented care; patient self-advocacy required; referral delay</x:v>
      </x:c>
      <x:c r="N292" s="19" t="str">
        <x:v>The problem is often not clinical detection but completion of the next step.</x:v>
      </x:c>
      <x:c r="O292" s="19" t="str">
        <x:v>Stage: before visit; referral; follow-up; action: CDC describes navigators helping people overcome practical, informational and trust barriers to screening and diagnosis.</x:v>
      </x:c>
      <x:c r="P292" s="19" t="str"/>
      <x:c r="Q292" s="19" t="str"/>
      <x:c r="R292" s="19" t="str"/>
      <x:c r="S292" s="19" t="str">
        <x:v>high</x:v>
      </x:c>
      <x:c r="T292" s="19" t="str">
        <x:v>02_extracted_evidence/facts.csv</x:v>
      </x:c>
      <x:c r="U292" s="19" t="str">
        <x:v>research_evidence_package_health_system_patient_flows_2026-05-30.tar.gz::02_extracted_evidence/facts.csv::F036</x:v>
      </x:c>
    </x:row>
    <x:row r="293">
      <x:c r="A293" s="19" t="str">
        <x:v>A_flows</x:v>
      </x:c>
      <x:c r="B293" s="19" t="str">
        <x:v>research_evidence_package_health_system_patient_flows_2026-05-30.tar.gz</x:v>
      </x:c>
      <x:c r="C293" s="19" t="str">
        <x:v>Research A / health-system patient flows</x:v>
      </x:c>
      <x:c r="D293" s="19" t="str">
        <x:v>fact</x:v>
      </x:c>
      <x:c r="E293" s="19" t="str">
        <x:v>F037</x:v>
      </x:c>
      <x:c r="F293" s="19" t="str">
        <x:v>S38</x:v>
      </x:c>
      <x:c r="G293" s="19" t="str">
        <x:v>Ayushman Bharat: Comprehensive Primary Health Care through Health and Wellness Centres</x:v>
      </x:c>
      <x:c r="H293" s="19" t="str">
        <x:v>https://aam.mohfw.gov.in/download/document/45a4ab64b74ab124cfd853ec9a0127e4.pdf</x:v>
      </x:c>
      <x:c r="I293" s="19" t="str">
        <x:v>India</x:v>
      </x:c>
      <x:c r="J293" s="19" t="str">
        <x:v>community health center / rural clinic</x:v>
      </x:c>
      <x:c r="K293" s="19" t="str">
        <x:v>referral delay; no follow-up ownership; lab trend missed</x:v>
      </x:c>
      <x:c r="L293" s="19" t="str"/>
      <x:c r="M293" s="19" t="str">
        <x:v>referral delay; no follow-up ownership; lab trend missed</x:v>
      </x:c>
      <x:c r="N293" s="19" t="str">
        <x:v>Community screening creates many positive signals that need tracking beyond the first contact.</x:v>
      </x:c>
      <x:c r="O293" s="19" t="str">
        <x:v>Stage: before visit; home/community visit; public health screening; referral; long-term monitoring; action: HWCs use empanelment, home/community interaction and universal screening to identify risks before clinic attendance; CHO leads HWC team and referrals.</x:v>
      </x:c>
      <x:c r="P293" s="19" t="str"/>
      <x:c r="Q293" s="19" t="str"/>
      <x:c r="R293" s="19" t="str"/>
      <x:c r="S293" s="19" t="str">
        <x:v>high</x:v>
      </x:c>
      <x:c r="T293" s="19" t="str">
        <x:v>02_extracted_evidence/facts.csv</x:v>
      </x:c>
      <x:c r="U293" s="19" t="str">
        <x:v>research_evidence_package_health_system_patient_flows_2026-05-30.tar.gz::02_extracted_evidence/facts.csv::F037</x:v>
      </x:c>
    </x:row>
    <x:row r="294">
      <x:c r="A294" s="19" t="str">
        <x:v>A_flows</x:v>
      </x:c>
      <x:c r="B294" s="19" t="str">
        <x:v>research_evidence_package_health_system_patient_flows_2026-05-30.tar.gz</x:v>
      </x:c>
      <x:c r="C294" s="19" t="str">
        <x:v>Research A / health-system patient flows</x:v>
      </x:c>
      <x:c r="D294" s="19" t="str">
        <x:v>fact</x:v>
      </x:c>
      <x:c r="E294" s="19" t="str">
        <x:v>F038</x:v>
      </x:c>
      <x:c r="F294" s="19" t="str">
        <x:v>S39</x:v>
      </x:c>
      <x:c r="G294" s="19" t="str">
        <x:v>Integrated Management of Childhood Illness</x:v>
      </x:c>
      <x:c r="H294" s="19" t="str">
        <x:v>https://www.who.int/teams/maternal-newborn-child-adolescent-health-and-ageing/child-health/integrated-management-of-childhood-illness/</x:v>
      </x:c>
      <x:c r="I294" s="19" t="str">
        <x:v>LMIC / global</x:v>
      </x:c>
      <x:c r="J294" s="19" t="str">
        <x:v>low-resource clinic</x:v>
      </x:c>
      <x:c r="K294" s="19" t="str">
        <x:v>red flag missed; referral delay; incomplete history</x:v>
      </x:c>
      <x:c r="L294" s="19" t="str"/>
      <x:c r="M294" s="19" t="str">
        <x:v>red flag missed; referral delay; incomplete history</x:v>
      </x:c>
      <x:c r="N294" s="19" t="str">
        <x:v>Low-resource workflows depend heavily on algorithms and referral availability.</x:v>
      </x:c>
      <x:c r="O294" s="19" t="str">
        <x:v>Stage: medical history; physical exam; referral; emergency escalation; action: IMCI uses evidence-based algorithms based on history/signs/symptoms when lab/radiology support is limited; includes treatment, counselling and referral for severe illness.</x:v>
      </x:c>
      <x:c r="P294" s="19" t="str"/>
      <x:c r="Q294" s="19" t="str"/>
      <x:c r="R294" s="19" t="str"/>
      <x:c r="S294" s="19" t="str">
        <x:v>high</x:v>
      </x:c>
      <x:c r="T294" s="19" t="str">
        <x:v>02_extracted_evidence/facts.csv</x:v>
      </x:c>
      <x:c r="U294" s="19" t="str">
        <x:v>research_evidence_package_health_system_patient_flows_2026-05-30.tar.gz::02_extracted_evidence/facts.csv::F038</x:v>
      </x:c>
    </x:row>
    <x:row r="295">
      <x:c r="A295" s="19" t="str">
        <x:v>A_flows</x:v>
      </x:c>
      <x:c r="B295" s="19" t="str">
        <x:v>research_evidence_package_health_system_patient_flows_2026-05-30.tar.gz</x:v>
      </x:c>
      <x:c r="C295" s="19" t="str">
        <x:v>Research A / health-system patient flows</x:v>
      </x:c>
      <x:c r="D295" s="19" t="str">
        <x:v>fact</x:v>
      </x:c>
      <x:c r="E295" s="19" t="str">
        <x:v>F039</x:v>
      </x:c>
      <x:c r="F295" s="19" t="str">
        <x:v>S40</x:v>
      </x:c>
      <x:c r="G295" s="19" t="str">
        <x:v>Integrated Community Case Management (iCCM)</x:v>
      </x:c>
      <x:c r="H295" s="19" t="str">
        <x:v>https://www.childhealthtaskforce.org/hubs/iccm</x:v>
      </x:c>
      <x:c r="I295" s="19" t="str">
        <x:v>LMIC / hard-to-reach communities</x:v>
      </x:c>
      <x:c r="J295" s="19" t="str">
        <x:v>home/community visit</x:v>
      </x:c>
      <x:c r="K295" s="19" t="str">
        <x:v>referral delay; poor handoff; low-resource supply gap</x:v>
      </x:c>
      <x:c r="L295" s="19" t="str"/>
      <x:c r="M295" s="19" t="str">
        <x:v>referral delay; poor handoff; low-resource supply gap</x:v>
      </x:c>
      <x:c r="N295" s="19" t="str">
        <x:v>The first diagnostic encounter may happen at home, not a clinic.</x:v>
      </x:c>
      <x:c r="O295" s="19" t="str">
        <x:v>Stage: before visit; home/community visit; emergency escalation; action: iCCM trains/supplies CHWs to diagnose/classify/treat uncomplicated cases and refer severe illness.</x:v>
      </x:c>
      <x:c r="P295" s="19" t="str"/>
      <x:c r="Q295" s="19" t="str"/>
      <x:c r="R295" s="19" t="str"/>
      <x:c r="S295" s="19" t="str">
        <x:v>medium</x:v>
      </x:c>
      <x:c r="T295" s="19" t="str">
        <x:v>02_extracted_evidence/facts.csv</x:v>
      </x:c>
      <x:c r="U295" s="19" t="str">
        <x:v>research_evidence_package_health_system_patient_flows_2026-05-30.tar.gz::02_extracted_evidence/facts.csv::F039</x:v>
      </x:c>
    </x:row>
    <x:row r="296">
      <x:c r="A296" s="19" t="str">
        <x:v>A_flows</x:v>
      </x:c>
      <x:c r="B296" s="19" t="str">
        <x:v>research_evidence_package_health_system_patient_flows_2026-05-30.tar.gz</x:v>
      </x:c>
      <x:c r="C296" s="19" t="str">
        <x:v>Research A / health-system patient flows</x:v>
      </x:c>
      <x:c r="D296" s="19" t="str">
        <x:v>fact</x:v>
      </x:c>
      <x:c r="E296" s="19" t="str">
        <x:v>F040</x:v>
      </x:c>
      <x:c r="F296" s="19" t="str">
        <x:v>S41</x:v>
      </x:c>
      <x:c r="G296" s="19" t="str">
        <x:v>Community-based case management: the RAcE programme</x:v>
      </x:c>
      <x:c r="H296" s="19" t="str">
        <x:v>https://www.who.int/teams/global-malaria-programme/case-management/community-based-case-management-race-programme</x:v>
      </x:c>
      <x:c r="I296" s="19" t="str">
        <x:v>DRC, Malawi, Mozambique, Niger, Nigeria</x:v>
      </x:c>
      <x:c r="J296" s="19" t="str">
        <x:v>home/community visit</x:v>
      </x:c>
      <x:c r="K296" s="19" t="str">
        <x:v>poor handoff; no follow-up ownership; fragmented care</x:v>
      </x:c>
      <x:c r="L296" s="19" t="str"/>
      <x:c r="M296" s="19" t="str">
        <x:v>poor handoff; no follow-up ownership; fragmented care</x:v>
      </x:c>
      <x:c r="N296" s="19" t="str">
        <x:v>Community programmes can generate care access but require supervision and integration with facilities.</x:v>
      </x:c>
      <x:c r="O296" s="19" t="str">
        <x:v>Stage: home/community visit; referral; follow-up; action: RAcE supported iCCM scale-up through CHW training, supplies and diagnosis/treatment/referral in five countries.</x:v>
      </x:c>
      <x:c r="P296" s="19" t="str"/>
      <x:c r="Q296" s="19" t="str"/>
      <x:c r="R296" s="19" t="str"/>
      <x:c r="S296" s="19" t="str">
        <x:v>medium</x:v>
      </x:c>
      <x:c r="T296" s="19" t="str">
        <x:v>02_extracted_evidence/facts.csv</x:v>
      </x:c>
      <x:c r="U296" s="19" t="str">
        <x:v>research_evidence_package_health_system_patient_flows_2026-05-30.tar.gz::02_extracted_evidence/facts.csv::F040</x:v>
      </x:c>
    </x:row>
    <x:row r="297">
      <x:c r="A297" s="19" t="str">
        <x:v>A_flows</x:v>
      </x:c>
      <x:c r="B297" s="19" t="str">
        <x:v>research_evidence_package_health_system_patient_flows_2026-05-30.tar.gz</x:v>
      </x:c>
      <x:c r="C297" s="19" t="str">
        <x:v>Research A / health-system patient flows</x:v>
      </x:c>
      <x:c r="D297" s="19" t="str">
        <x:v>fact</x:v>
      </x:c>
      <x:c r="E297" s="19" t="str">
        <x:v>F041</x:v>
      </x:c>
      <x:c r="F297" s="19" t="str">
        <x:v>S42</x:v>
      </x:c>
      <x:c r="G297" s="19" t="str">
        <x:v>Effectiveness of a structured triage system in a resource-limited rural hospital in Uganda</x:v>
      </x:c>
      <x:c r="H297" s="19" t="str">
        <x:v>https://link.springer.com/article/10.1186/s12245-025-01005-z</x:v>
      </x:c>
      <x:c r="I297" s="19" t="str">
        <x:v>Uganda</x:v>
      </x:c>
      <x:c r="J297" s="19" t="str">
        <x:v>rural clinic</x:v>
      </x:c>
      <x:c r="K297" s="19" t="str">
        <x:v>red flag missed; arrival; poor handoff</x:v>
      </x:c>
      <x:c r="L297" s="19" t="str"/>
      <x:c r="M297" s="19" t="str">
        <x:v>red flag missed; arrival; poor handoff</x:v>
      </x:c>
      <x:c r="N297" s="19" t="str">
        <x:v>In many rural OPDs, primary and emergency care share a front door with no formal triage.</x:v>
      </x:c>
      <x:c r="O297" s="19" t="str">
        <x:v>Stage: arrival; nurse triage; vitals; first clinician assessment; action: Rural OPD implemented IITT-adapted structured triage using a three-colour checklist on charts and short training; patient flow improved without added resources.</x:v>
      </x:c>
      <x:c r="P297" s="19" t="str"/>
      <x:c r="Q297" s="19" t="str"/>
      <x:c r="R297" s="19" t="str"/>
      <x:c r="S297" s="19" t="str">
        <x:v>medium</x:v>
      </x:c>
      <x:c r="T297" s="19" t="str">
        <x:v>02_extracted_evidence/facts.csv</x:v>
      </x:c>
      <x:c r="U297" s="19" t="str">
        <x:v>research_evidence_package_health_system_patient_flows_2026-05-30.tar.gz::02_extracted_evidence/facts.csv::F041</x:v>
      </x:c>
    </x:row>
    <x:row r="298">
      <x:c r="A298" s="19" t="str">
        <x:v>A_flows</x:v>
      </x:c>
      <x:c r="B298" s="19" t="str">
        <x:v>research_evidence_package_health_system_patient_flows_2026-05-30.tar.gz</x:v>
      </x:c>
      <x:c r="C298" s="19" t="str">
        <x:v>Research A / health-system patient flows</x:v>
      </x:c>
      <x:c r="D298" s="19" t="str">
        <x:v>fact</x:v>
      </x:c>
      <x:c r="E298" s="19" t="str">
        <x:v>F042</x:v>
      </x:c>
      <x:c r="F298" s="19" t="str">
        <x:v>S43</x:v>
      </x:c>
      <x:c r="G298" s="19" t="str">
        <x:v>Brazil's Family Health Strategy: Using Community Health Workers to Provide Primary Care</x:v>
      </x:c>
      <x:c r="H298" s="19" t="str">
        <x:v>https://www.commonwealthfund.org/publications/case-study/2016/dec/brazils-family-health-strategy-using-community-health-care-workers</x:v>
      </x:c>
      <x:c r="I298" s="19" t="str">
        <x:v>Brazil</x:v>
      </x:c>
      <x:c r="J298" s="19" t="str">
        <x:v>home/community visit</x:v>
      </x:c>
      <x:c r="K298" s="19" t="str">
        <x:v>fragmented care; no one connected the dots; documentation error</x:v>
      </x:c>
      <x:c r="L298" s="19" t="str"/>
      <x:c r="M298" s="19" t="str">
        <x:v>fragmented care; no one connected the dots; documentation error</x:v>
      </x:c>
      <x:c r="N298" s="19" t="str">
        <x:v>Community knowledge is powerful but can be under-documented or poorly integrated into clinical records.</x:v>
      </x:c>
      <x:c r="O298" s="19" t="str">
        <x:v>Stage: home/community visit; long-term monitoring; referral; action: CHWs provide home basic care, register families, relay information to teams, resolve low-level problems and refer complex problems.</x:v>
      </x:c>
      <x:c r="P298" s="19" t="str"/>
      <x:c r="Q298" s="19" t="str"/>
      <x:c r="R298" s="19" t="str"/>
      <x:c r="S298" s="19" t="str">
        <x:v>medium</x:v>
      </x:c>
      <x:c r="T298" s="19" t="str">
        <x:v>02_extracted_evidence/facts.csv</x:v>
      </x:c>
      <x:c r="U298" s="19" t="str">
        <x:v>research_evidence_package_health_system_patient_flows_2026-05-30.tar.gz::02_extracted_evidence/facts.csv::F042</x:v>
      </x:c>
    </x:row>
    <x:row r="299">
      <x:c r="A299" s="19" t="str">
        <x:v>A_flows</x:v>
      </x:c>
      <x:c r="B299" s="19" t="str">
        <x:v>research_evidence_package_health_system_patient_flows_2026-05-30.tar.gz</x:v>
      </x:c>
      <x:c r="C299" s="19" t="str">
        <x:v>Research A / health-system patient flows</x:v>
      </x:c>
      <x:c r="D299" s="19" t="str">
        <x:v>fact</x:v>
      </x:c>
      <x:c r="E299" s="19" t="str">
        <x:v>F043</x:v>
      </x:c>
      <x:c r="F299" s="19" t="str">
        <x:v>S44</x:v>
      </x:c>
      <x:c r="G299" s="19" t="str">
        <x:v>HEARTS in the Americas: Hypertension Clinical Pathways</x:v>
      </x:c>
      <x:c r="H299" s="19" t="str">
        <x:v>https://www.paho.org/en/hearts-americas/hypertension-clinical-pathways</x:v>
      </x:c>
      <x:c r="I299" s="19" t="str">
        <x:v>Latin America / Caribbean</x:v>
      </x:c>
      <x:c r="J299" s="19" t="str">
        <x:v>community health center / primary care</x:v>
      </x:c>
      <x:c r="K299" s="19" t="str">
        <x:v>lab/vital trend missed; no follow-up ownership</x:v>
      </x:c>
      <x:c r="L299" s="19" t="str"/>
      <x:c r="M299" s="19" t="str">
        <x:v>lab/vital trend missed; no follow-up ownership</x:v>
      </x:c>
      <x:c r="N299" s="19" t="str">
        <x:v>Screening must connect to protocolized treatment and follow-up, not just identify high BP.</x:v>
      </x:c>
      <x:c r="O299" s="19" t="str">
        <x:v>Stage: vitals; labs ordered; lab interpretation; long-term monitoring; action: PAHO HEARTS clinical pathways standardize treatment protocols, proper BP measurement and cardiovascular risk assessment in PHC.</x:v>
      </x:c>
      <x:c r="P299" s="19" t="str"/>
      <x:c r="Q299" s="19" t="str"/>
      <x:c r="R299" s="19" t="str"/>
      <x:c r="S299" s="19" t="str">
        <x:v>high</x:v>
      </x:c>
      <x:c r="T299" s="19" t="str">
        <x:v>02_extracted_evidence/facts.csv</x:v>
      </x:c>
      <x:c r="U299" s="19" t="str">
        <x:v>research_evidence_package_health_system_patient_flows_2026-05-30.tar.gz::02_extracted_evidence/facts.csv::F043</x:v>
      </x:c>
    </x:row>
    <x:row r="300">
      <x:c r="A300" s="19" t="str">
        <x:v>A_flows</x:v>
      </x:c>
      <x:c r="B300" s="19" t="str">
        <x:v>research_evidence_package_health_system_patient_flows_2026-05-30.tar.gz</x:v>
      </x:c>
      <x:c r="C300" s="19" t="str">
        <x:v>Research A / health-system patient flows</x:v>
      </x:c>
      <x:c r="D300" s="19" t="str">
        <x:v>fact</x:v>
      </x:c>
      <x:c r="E300" s="19" t="str">
        <x:v>F044</x:v>
      </x:c>
      <x:c r="F300" s="19" t="str">
        <x:v>S45</x:v>
      </x:c>
      <x:c r="G300" s="19" t="str">
        <x:v>Specific health checkup and specific health guidance</x:v>
      </x:c>
      <x:c r="H300" s="19" t="str">
        <x:v>https://www.shoken-kenpo.or.jp/eng/member/checkup/measure.html</x:v>
      </x:c>
      <x:c r="I300" s="19" t="str">
        <x:v>Japan</x:v>
      </x:c>
      <x:c r="J300" s="19" t="str">
        <x:v>public health screening</x:v>
      </x:c>
      <x:c r="K300" s="19" t="str">
        <x:v>no follow-up ownership; normal-test trap</x:v>
      </x:c>
      <x:c r="L300" s="19" t="str"/>
      <x:c r="M300" s="19" t="str">
        <x:v>no follow-up ownership; normal-test trap</x:v>
      </x:c>
      <x:c r="N300" s="19" t="str">
        <x:v>Preventive flow identifies risk before symptoms but depends on participation and sustained behaviour support.</x:v>
      </x:c>
      <x:c r="O300" s="19" t="str">
        <x:v>Stage: before visit; public health screening; long-term monitoring; action: Specific health checkups screen insured people/dependents age 40+; results stratify into information provision, motivational support or proactive support.</x:v>
      </x:c>
      <x:c r="P300" s="19" t="str"/>
      <x:c r="Q300" s="19" t="str"/>
      <x:c r="R300" s="19" t="str"/>
      <x:c r="S300" s="19" t="str">
        <x:v>medium</x:v>
      </x:c>
      <x:c r="T300" s="19" t="str">
        <x:v>02_extracted_evidence/facts.csv</x:v>
      </x:c>
      <x:c r="U300" s="19" t="str">
        <x:v>research_evidence_package_health_system_patient_flows_2026-05-30.tar.gz::02_extracted_evidence/facts.csv::F044</x:v>
      </x:c>
    </x:row>
    <x:row r="301">
      <x:c r="A301" s="19" t="str">
        <x:v>A_flows</x:v>
      </x:c>
      <x:c r="B301" s="19" t="str">
        <x:v>research_evidence_package_health_system_patient_flows_2026-05-30.tar.gz</x:v>
      </x:c>
      <x:c r="C301" s="19" t="str">
        <x:v>Research A / health-system patient flows</x:v>
      </x:c>
      <x:c r="D301" s="19" t="str">
        <x:v>fact</x:v>
      </x:c>
      <x:c r="E301" s="19" t="str">
        <x:v>F045</x:v>
      </x:c>
      <x:c r="F301" s="19" t="str">
        <x:v>S46</x:v>
      </x:c>
      <x:c r="G301" s="19" t="str">
        <x:v>National Health Screening Program</x:v>
      </x:c>
      <x:c r="H301" s="19" t="str">
        <x:v>https://www.nhis.or.kr/english/wbhe/policies/NationalHealthScreeningProgram.html</x:v>
      </x:c>
      <x:c r="I301" s="19" t="str">
        <x:v>South Korea</x:v>
      </x:c>
      <x:c r="J301" s="19" t="str">
        <x:v>public health screening</x:v>
      </x:c>
      <x:c r="K301" s="19" t="str">
        <x:v>abnormal result not followed up; no follow-up ownership</x:v>
      </x:c>
      <x:c r="L301" s="19" t="str"/>
      <x:c r="M301" s="19" t="str">
        <x:v>abnormal result not followed up; no follow-up ownership</x:v>
      </x:c>
      <x:c r="N301" s="19" t="str">
        <x:v>Screening result delivery by mail does not ensure comprehension or completion of confirmation testing.</x:v>
      </x:c>
      <x:c r="O301" s="19" t="str">
        <x:v>Stage: before visit; public health screening; lab interpretation; follow-up; action: Patient checks eligibility, visits authorized hospital with ID/checkup card, receives results by mail; suspected disease may receive confirmation checkup.</x:v>
      </x:c>
      <x:c r="P301" s="19" t="str"/>
      <x:c r="Q301" s="19" t="str"/>
      <x:c r="R301" s="19" t="str"/>
      <x:c r="S301" s="19" t="str">
        <x:v>medium</x:v>
      </x:c>
      <x:c r="T301" s="19" t="str">
        <x:v>02_extracted_evidence/facts.csv</x:v>
      </x:c>
      <x:c r="U301" s="19" t="str">
        <x:v>research_evidence_package_health_system_patient_flows_2026-05-30.tar.gz::02_extracted_evidence/facts.csv::F045</x:v>
      </x:c>
    </x:row>
    <x:row r="302">
      <x:c r="A302" s="19" t="str">
        <x:v>A_flows</x:v>
      </x:c>
      <x:c r="B302" s="19" t="str">
        <x:v>research_evidence_package_health_system_patient_flows_2026-05-30.tar.gz</x:v>
      </x:c>
      <x:c r="C302" s="19" t="str">
        <x:v>Research A / health-system patient flows</x:v>
      </x:c>
      <x:c r="D302" s="19" t="str">
        <x:v>fact</x:v>
      </x:c>
      <x:c r="E302" s="19" t="str">
        <x:v>F046</x:v>
      </x:c>
      <x:c r="F302" s="19" t="str">
        <x:v>S47</x:v>
      </x:c>
      <x:c r="G302" s="19" t="str">
        <x:v>Danish Cancer Patient Pathways: three-legged strategy</x:v>
      </x:c>
      <x:c r="H302" s="19" t="str">
        <x:v>https://www.all-can.org/efficiency-hub/danish-cancer-patient-pathways-three-legged-strategy-for-faster-referral-and-diagnosis-of-cancer/</x:v>
      </x:c>
      <x:c r="I302" s="19" t="str">
        <x:v>Denmark</x:v>
      </x:c>
      <x:c r="J302" s="19" t="str">
        <x:v>primary care / specialist clinic</x:v>
      </x:c>
      <x:c r="K302" s="19" t="str">
        <x:v>rare disease delay; referral delay; no one connected the dots</x:v>
      </x:c>
      <x:c r="L302" s="19" t="str"/>
      <x:c r="M302" s="19" t="str">
        <x:v>rare disease delay; referral delay; no one connected the dots</x:v>
      </x:c>
      <x:c r="N302" s="19" t="str">
        <x:v>Countries need a route for serious nonspecific symptoms, not only organ-specific red flags.</x:v>
      </x:c>
      <x:c r="O302" s="19" t="str">
        <x:v>Stage: medical history; labs ordered; referral; specialist review; action: Three-legged strategy: urgent alarm symptoms to organ-specific pathways; serious nonspecific symptoms to tests and diagnostic centres; vague low-risk symptoms managed by GP with diagnostic access.</x:v>
      </x:c>
      <x:c r="P302" s="19" t="str"/>
      <x:c r="Q302" s="19" t="str"/>
      <x:c r="R302" s="19" t="str"/>
      <x:c r="S302" s="19" t="str">
        <x:v>medium</x:v>
      </x:c>
      <x:c r="T302" s="19" t="str">
        <x:v>02_extracted_evidence/facts.csv</x:v>
      </x:c>
      <x:c r="U302" s="19" t="str">
        <x:v>research_evidence_package_health_system_patient_flows_2026-05-30.tar.gz::02_extracted_evidence/facts.csv::F046</x:v>
      </x:c>
    </x:row>
    <x:row r="303">
      <x:c r="A303" s="19" t="str">
        <x:v>A_flows</x:v>
      </x:c>
      <x:c r="B303" s="19" t="str">
        <x:v>research_evidence_package_health_system_patient_flows_2026-05-30.tar.gz</x:v>
      </x:c>
      <x:c r="C303" s="19" t="str">
        <x:v>Research A / health-system patient flows</x:v>
      </x:c>
      <x:c r="D303" s="19" t="str">
        <x:v>fact</x:v>
      </x:c>
      <x:c r="E303" s="19" t="str">
        <x:v>F047</x:v>
      </x:c>
      <x:c r="F303" s="19" t="str">
        <x:v>S48</x:v>
      </x:c>
      <x:c r="G303" s="19" t="str">
        <x:v>Risk of cancer and serious disease in Danish patients with urgent referral for NSSC</x:v>
      </x:c>
      <x:c r="H303" s="19" t="str">
        <x:v>https://www.nature.com/articles/s41416-024-02620-y</x:v>
      </x:c>
      <x:c r="I303" s="19" t="str">
        <x:v>Denmark</x:v>
      </x:c>
      <x:c r="J303" s="19" t="str">
        <x:v>specialist clinic / diagnostic centre</x:v>
      </x:c>
      <x:c r="K303" s="19" t="str">
        <x:v>rare disease delay; referral delay; normal-test trap</x:v>
      </x:c>
      <x:c r="L303" s="19" t="str"/>
      <x:c r="M303" s="19" t="str">
        <x:v>rare disease delay; referral delay; normal-test trap</x:v>
      </x:c>
      <x:c r="N303" s="19" t="str">
        <x:v>Nonspecific symptoms can represent high-yield diagnostic risk when systematically routed.</x:v>
      </x:c>
      <x:c r="O303" s="19" t="str">
        <x:v>Stage: referral; specialist review; labs/imaging ordered; action: Cohort study of urgent referral to Denmark's non-organ-specific cancer pathway; around one fifth had cancer.</x:v>
      </x:c>
      <x:c r="P303" s="19" t="str"/>
      <x:c r="Q303" s="19" t="str"/>
      <x:c r="R303" s="19" t="str"/>
      <x:c r="S303" s="19" t="str">
        <x:v>high</x:v>
      </x:c>
      <x:c r="T303" s="19" t="str">
        <x:v>02_extracted_evidence/facts.csv</x:v>
      </x:c>
      <x:c r="U303" s="19" t="str">
        <x:v>research_evidence_package_health_system_patient_flows_2026-05-30.tar.gz::02_extracted_evidence/facts.csv::F047</x:v>
      </x:c>
    </x:row>
    <x:row r="304">
      <x:c r="A304" s="19" t="str">
        <x:v>A_flows</x:v>
      </x:c>
      <x:c r="B304" s="19" t="str">
        <x:v>research_evidence_package_health_system_patient_flows_2026-05-30.tar.gz</x:v>
      </x:c>
      <x:c r="C304" s="19" t="str">
        <x:v>Research A / health-system patient flows</x:v>
      </x:c>
      <x:c r="D304" s="19" t="str">
        <x:v>fact</x:v>
      </x:c>
      <x:c r="E304" s="19" t="str">
        <x:v>F048</x:v>
      </x:c>
      <x:c r="F304" s="19" t="str">
        <x:v>S49</x:v>
      </x:c>
      <x:c r="G304" s="19" t="str">
        <x:v>Healthcare Israel</x:v>
      </x:c>
      <x:c r="H304" s="19" t="str">
        <x:v>https://www1.health.gov.il/en/landing-pages/healthcare-israel/healthcare-israel/</x:v>
      </x:c>
      <x:c r="I304" s="19" t="str">
        <x:v>Israel</x:v>
      </x:c>
      <x:c r="J304" s="19" t="str">
        <x:v>primary care</x:v>
      </x:c>
      <x:c r="K304" s="19" t="str">
        <x:v>lab trend missed; no one connected the dots</x:v>
      </x:c>
      <x:c r="L304" s="19" t="str"/>
      <x:c r="M304" s="19" t="str">
        <x:v>lab trend missed; no one connected the dots</x:v>
      </x:c>
      <x:c r="N304" s="19" t="str">
        <x:v>Digitized history reduces fragmentation but still requires pattern recognition and alert design.</x:v>
      </x:c>
      <x:c r="O304" s="19" t="str">
        <x:v>Stage: before visit; first clinician assessment; long-term monitoring; action: Israel's HMO-based system begins with family doctor/community health centers and uses longstanding digital records/HIE to give clinicians historical data at point of care.</x:v>
      </x:c>
      <x:c r="P304" s="19" t="str"/>
      <x:c r="Q304" s="19" t="str"/>
      <x:c r="R304" s="19" t="str"/>
      <x:c r="S304" s="19" t="str">
        <x:v>medium</x:v>
      </x:c>
      <x:c r="T304" s="19" t="str">
        <x:v>02_extracted_evidence/facts.csv</x:v>
      </x:c>
      <x:c r="U304" s="19" t="str">
        <x:v>research_evidence_package_health_system_patient_flows_2026-05-30.tar.gz::02_extracted_evidence/facts.csv::F048</x:v>
      </x:c>
    </x:row>
    <x:row r="305">
      <x:c r="A305" s="19" t="str">
        <x:v>A_flows</x:v>
      </x:c>
      <x:c r="B305" s="19" t="str">
        <x:v>research_evidence_package_health_system_patient_flows_2026-05-30.tar.gz</x:v>
      </x:c>
      <x:c r="C305" s="19" t="str">
        <x:v>Research A / health-system patient flows</x:v>
      </x:c>
      <x:c r="D305" s="19" t="str">
        <x:v>fact</x:v>
      </x:c>
      <x:c r="E305" s="19" t="str">
        <x:v>F049</x:v>
      </x:c>
      <x:c r="F305" s="19" t="str">
        <x:v>S50</x:v>
      </x:c>
      <x:c r="G305" s="19" t="str">
        <x:v>Maccabi Healthcare Services: Diagnostic Services</x:v>
      </x:c>
      <x:c r="H305" s="19" t="str">
        <x:v>https://www.maccabi4u.co.il/en/46562/main_english/our-healthcare-system/diagnostic-services/</x:v>
      </x:c>
      <x:c r="I305" s="19" t="str">
        <x:v>Israel</x:v>
      </x:c>
      <x:c r="J305" s="19" t="str">
        <x:v>hospital outpatient / diagnostic services</x:v>
      </x:c>
      <x:c r="K305" s="19" t="str">
        <x:v>abnormal result not followed up; no follow-up ownership</x:v>
      </x:c>
      <x:c r="L305" s="19" t="str"/>
      <x:c r="M305" s="19" t="str">
        <x:v>abnormal result not followed up; no follow-up ownership</x:v>
      </x:c>
      <x:c r="N305" s="19" t="str">
        <x:v>Result delivery is not the same as result action.</x:v>
      </x:c>
      <x:c r="O305" s="19" t="str">
        <x:v>Stage: labs ordered; imaging ordered; lab interpretation; follow-up; action: Diagnostic services are computerized from referral through collection/test and result delivery to physician and user stations; teleradiology centralizes interpretation for distant sites.</x:v>
      </x:c>
      <x:c r="P305" s="19" t="str"/>
      <x:c r="Q305" s="19" t="str"/>
      <x:c r="R305" s="19" t="str"/>
      <x:c r="S305" s="19" t="str">
        <x:v>medium</x:v>
      </x:c>
      <x:c r="T305" s="19" t="str">
        <x:v>02_extracted_evidence/facts.csv</x:v>
      </x:c>
      <x:c r="U305" s="19" t="str">
        <x:v>research_evidence_package_health_system_patient_flows_2026-05-30.tar.gz::02_extracted_evidence/facts.csv::F049</x:v>
      </x:c>
    </x:row>
    <x:row r="306">
      <x:c r="A306" s="19" t="str">
        <x:v>A_flows</x:v>
      </x:c>
      <x:c r="B306" s="19" t="str">
        <x:v>research_evidence_package_health_system_patient_flows_2026-05-30.tar.gz</x:v>
      </x:c>
      <x:c r="C306" s="19" t="str">
        <x:v>Research A / health-system patient flows</x:v>
      </x:c>
      <x:c r="D306" s="19" t="str">
        <x:v>fact</x:v>
      </x:c>
      <x:c r="E306" s="19" t="str">
        <x:v>F050</x:v>
      </x:c>
      <x:c r="F306" s="19" t="str">
        <x:v>S52</x:v>
      </x:c>
      <x:c r="G306" s="19" t="str">
        <x:v>Data analysis reveals common errors that prevent patients from getting timely, accurate diagnoses</x:v>
      </x:c>
      <x:c r="H306" s="19" t="str">
        <x:v>https://home.ecri.org/blogs/ecri-news/data-analysis-reveals-common-errors-that-prevent-patients-from-getting-timely-accurate-diagnoses</x:v>
      </x:c>
      <x:c r="I306" s="19" t="str">
        <x:v>US</x:v>
      </x:c>
      <x:c r="J306" s="19" t="str">
        <x:v>cross-setting</x:v>
      </x:c>
      <x:c r="K306" s="19" t="str">
        <x:v>documentation error; poor handoff; abnormal result not followed up</x:v>
      </x:c>
      <x:c r="L306" s="19" t="str"/>
      <x:c r="M306" s="19" t="str">
        <x:v>documentation error; poor handoff; abnormal result not followed up</x:v>
      </x:c>
      <x:c r="N306" s="19" t="str">
        <x:v>Diagnostic failure is often an operations/communication problem, not just cognitive error.</x:v>
      </x:c>
      <x:c r="O306" s="19" t="str">
        <x:v>Stage: labs ordered; imaging ordered; referral; follow-up; action: Analysis of &gt;3,000 diagnostic safety events found many errors in the testing process plus monitoring/follow-up and referral/consultation phases.</x:v>
      </x:c>
      <x:c r="P306" s="19" t="str"/>
      <x:c r="Q306" s="19" t="str"/>
      <x:c r="R306" s="19" t="str"/>
      <x:c r="S306" s="19" t="str">
        <x:v>medium</x:v>
      </x:c>
      <x:c r="T306" s="19" t="str">
        <x:v>02_extracted_evidence/facts.csv</x:v>
      </x:c>
      <x:c r="U306" s="19" t="str">
        <x:v>research_evidence_package_health_system_patient_flows_2026-05-30.tar.gz::02_extracted_evidence/facts.csv::F050</x:v>
      </x:c>
    </x:row>
    <x:row r="307">
      <x:c r="A307" s="19" t="str">
        <x:v>A_flows</x:v>
      </x:c>
      <x:c r="B307" s="19" t="str">
        <x:v>research_evidence_package_health_system_patient_flows_2026-05-30.tar.gz</x:v>
      </x:c>
      <x:c r="C307" s="19" t="str">
        <x:v>Research A / health-system patient flows</x:v>
      </x:c>
      <x:c r="D307" s="19" t="str">
        <x:v>fact</x:v>
      </x:c>
      <x:c r="E307" s="19" t="str">
        <x:v>F051</x:v>
      </x:c>
      <x:c r="F307" s="19" t="str">
        <x:v>S53</x:v>
      </x:c>
      <x:c r="G307" s="19" t="str">
        <x:v>Undiagnosed: When Your Rare Diagnosis Comes 30 Years Late</x:v>
      </x:c>
      <x:c r="H307" s="19" t="str">
        <x:v>https://rarediseases.org/undiagnosed-when-your-rare-diagnosis-comes-30-years-late/</x:v>
      </x:c>
      <x:c r="I307" s="19" t="str">
        <x:v>US</x:v>
      </x:c>
      <x:c r="J307" s="19" t="str">
        <x:v>specialist clinic / rare disease</x:v>
      </x:c>
      <x:c r="K307" s="19" t="str">
        <x:v>rare disease delay; patient self-advocacy required; no one connected the dots</x:v>
      </x:c>
      <x:c r="L307" s="19" t="str"/>
      <x:c r="M307" s="19" t="str">
        <x:v>rare disease delay; patient self-advocacy required; no one connected the dots</x:v>
      </x:c>
      <x:c r="N307" s="19" t="str">
        <x:v>Rare disease patients often carry the pattern across disconnected visits themselves.</x:v>
      </x:c>
      <x:c r="O307" s="19" t="str">
        <x:v>Stage: repeat visit; specialist review; imaging/genetic/special testing; action: Patient story describes self-advocacy leading to specialist programme review and eventual rare diagnosis after decades.</x:v>
      </x:c>
      <x:c r="P307" s="19" t="str"/>
      <x:c r="Q307" s="19" t="str"/>
      <x:c r="R307" s="19" t="str"/>
      <x:c r="S307" s="19" t="str">
        <x:v>low</x:v>
      </x:c>
      <x:c r="T307" s="19" t="str">
        <x:v>02_extracted_evidence/facts.csv</x:v>
      </x:c>
      <x:c r="U307" s="19" t="str">
        <x:v>research_evidence_package_health_system_patient_flows_2026-05-30.tar.gz::02_extracted_evidence/facts.csv::F051</x:v>
      </x:c>
    </x:row>
    <x:row r="308">
      <x:c r="A308" s="19" t="str">
        <x:v>A_flows</x:v>
      </x:c>
      <x:c r="B308" s="19" t="str">
        <x:v>research_evidence_package_health_system_patient_flows_2026-05-30.tar.gz</x:v>
      </x:c>
      <x:c r="C308" s="19" t="str">
        <x:v>Research A / health-system patient flows</x:v>
      </x:c>
      <x:c r="D308" s="19" t="str">
        <x:v>fact</x:v>
      </x:c>
      <x:c r="E308" s="19" t="str">
        <x:v>F052</x:v>
      </x:c>
      <x:c r="F308" s="19" t="str">
        <x:v>S54</x:v>
      </x:c>
      <x:c r="G308" s="19" t="str">
        <x:v>Living with CKD: diagnosis experiences</x:v>
      </x:c>
      <x:c r="H308" s="19" t="str">
        <x:v>https://kidneycareuk.org/kidney-disease-information/your-stories/ckd-diagnosis-experiences/</x:v>
      </x:c>
      <x:c r="I308" s="19" t="str">
        <x:v>UK</x:v>
      </x:c>
      <x:c r="J308" s="19" t="str">
        <x:v>primary care / chronic disease</x:v>
      </x:c>
      <x:c r="K308" s="19" t="str">
        <x:v>chronic illness invalidation; lab trend missed; documentation error</x:v>
      </x:c>
      <x:c r="L308" s="19" t="str"/>
      <x:c r="M308" s="19" t="str">
        <x:v>chronic illness invalidation; lab trend missed; documentation error</x:v>
      </x:c>
      <x:c r="N308" s="19" t="str">
        <x:v>Chronic illness identification can fail even when data exists if communication/records are not visible.</x:v>
      </x:c>
      <x:c r="O308" s="19" t="str">
        <x:v>Stage: medical history; lab interpretation; diagnosis discussion; action: Advocacy patient stories describe how CKD diagnosis experiences can involve communication problems, dismissed symptoms and records not seen.</x:v>
      </x:c>
      <x:c r="P308" s="19" t="str"/>
      <x:c r="Q308" s="19" t="str"/>
      <x:c r="R308" s="19" t="str"/>
      <x:c r="S308" s="19" t="str">
        <x:v>low</x:v>
      </x:c>
      <x:c r="T308" s="19" t="str">
        <x:v>02_extracted_evidence/facts.csv</x:v>
      </x:c>
      <x:c r="U308" s="19" t="str">
        <x:v>research_evidence_package_health_system_patient_flows_2026-05-30.tar.gz::02_extracted_evidence/facts.csv::F052</x:v>
      </x:c>
    </x:row>
    <x:row r="309">
      <x:c r="A309" s="19" t="str">
        <x:v>A_flows</x:v>
      </x:c>
      <x:c r="B309" s="19" t="str">
        <x:v>research_evidence_package_health_system_patient_flows_2026-05-30.tar.gz</x:v>
      </x:c>
      <x:c r="C309" s="19" t="str">
        <x:v>Research A / health-system patient flows</x:v>
      </x:c>
      <x:c r="D309" s="19" t="str">
        <x:v>fact</x:v>
      </x:c>
      <x:c r="E309" s="19" t="str">
        <x:v>F053</x:v>
      </x:c>
      <x:c r="F309" s="19" t="str">
        <x:v>S56</x:v>
      </x:c>
      <x:c r="G309" s="19" t="str">
        <x:v>Types and Origins of Diagnostic Errors in Primary Care Settings</x:v>
      </x:c>
      <x:c r="H309" s="19" t="str">
        <x:v>https://jamanetwork.com/journals/jamainternalmedicine/fullarticle/1656540</x:v>
      </x:c>
      <x:c r="I309" s="19" t="str">
        <x:v>US</x:v>
      </x:c>
      <x:c r="J309" s="19" t="str">
        <x:v>primary care</x:v>
      </x:c>
      <x:c r="K309" s="19" t="str">
        <x:v>incomplete history; physical exam missed; repeated visits ignored</x:v>
      </x:c>
      <x:c r="L309" s="19" t="str"/>
      <x:c r="M309" s="19" t="str">
        <x:v>incomplete history; physical exam missed; repeated visits ignored</x:v>
      </x:c>
      <x:c r="N309" s="19" t="str">
        <x:v>The highest-yield diagnostic signals may appear only after a return visit or hospitalization.</x:v>
      </x:c>
      <x:c r="O309" s="19" t="str">
        <x:v>Stage: first clinician assessment; medical history; physical exam; labs ordered; action: Study identified primary-care diagnostic errors using EHR triggers such as unplanned hospitalization/return visits/ED visits after index primary-care encounter.</x:v>
      </x:c>
      <x:c r="P309" s="19" t="str"/>
      <x:c r="Q309" s="19" t="str"/>
      <x:c r="R309" s="19" t="str"/>
      <x:c r="S309" s="19" t="str">
        <x:v>high</x:v>
      </x:c>
      <x:c r="T309" s="19" t="str">
        <x:v>02_extracted_evidence/facts.csv</x:v>
      </x:c>
      <x:c r="U309" s="19" t="str">
        <x:v>research_evidence_package_health_system_patient_flows_2026-05-30.tar.gz::02_extracted_evidence/facts.csv::F053</x:v>
      </x:c>
    </x:row>
    <x:row r="310">
      <x:c r="A310" s="19" t="str">
        <x:v>B_missed</x:v>
      </x:c>
      <x:c r="B310" s="19" t="str">
        <x:v>research_evidence_package_missed_signals_diagnostic_errors_2026-05-30.tar.gz</x:v>
      </x:c>
      <x:c r="C310" s="19" t="str">
        <x:v>Research B / missed signals and diagnostic errors</x:v>
      </x:c>
      <x:c r="D310" s="19" t="str">
        <x:v>evidence_item</x:v>
      </x:c>
      <x:c r="E310" s="19" t="str">
        <x:v>E-001</x:v>
      </x:c>
      <x:c r="F310" s="19" t="str">
        <x:v>unknown</x:v>
      </x:c>
      <x:c r="G310" s="19" t="str"/>
      <x:c r="H310" s="19" t="str">
        <x:v>https://psnet.ahrq.gov/web-mm/anemia-and-delayed-colon-cancer-diagnosis</x:v>
      </x:c>
      <x:c r="I310" s="19" t="str">
        <x:v>United States</x:v>
      </x:c>
      <x:c r="J310" s="19" t="str">
        <x:v>primary care; specialist clinic; hospital inpatient</x:v>
      </x:c>
      <x:c r="K310" s="19" t="str">
        <x:v>medical history; labs ordered; lab interpretation; referral; repeat visit</x:v>
      </x:c>
      <x:c r="L310" s="19" t="str">
        <x:v>Colon cancer after iron-deficiency anemia</x:v>
      </x:c>
      <x:c r="M310" s="19" t="str">
        <x:v>unknown</x:v>
      </x:c>
      <x:c r="N310" s="19" t="str">
        <x:v>unknown</x:v>
      </x:c>
      <x:c r="O310" s="19" t="str">
        <x:v>unknown</x:v>
      </x:c>
      <x:c r="P310" s="19" t="str">
        <x:v>unknown</x:v>
      </x:c>
      <x:c r="Q310" s="19" t="str"/>
      <x:c r="R310" s="19" t="str">
        <x:v>Build longitudinal anemia trend + prior-normal-test guardrail that asks: does this old test still explain today's signal?</x:v>
      </x:c>
      <x:c r="S310" s="19" t="str">
        <x:v>high</x:v>
      </x:c>
      <x:c r="T310" s="19" t="str">
        <x:v>02_extracted_evidence/evidence_items.csv</x:v>
      </x:c>
      <x:c r="U310" s="19" t="str">
        <x:v>research_evidence_package_missed_signals_diagnostic_errors_2026-05-30.tar.gz::02_extracted_evidence/evidence_items.csv::E-001</x:v>
      </x:c>
    </x:row>
    <x:row r="311">
      <x:c r="A311" s="19" t="str">
        <x:v>B_missed</x:v>
      </x:c>
      <x:c r="B311" s="19" t="str">
        <x:v>research_evidence_package_missed_signals_diagnostic_errors_2026-05-30.tar.gz</x:v>
      </x:c>
      <x:c r="C311" s="19" t="str">
        <x:v>Research B / missed signals and diagnostic errors</x:v>
      </x:c>
      <x:c r="D311" s="19" t="str">
        <x:v>evidence_item</x:v>
      </x:c>
      <x:c r="E311" s="19" t="str">
        <x:v>E-002</x:v>
      </x:c>
      <x:c r="F311" s="19" t="str">
        <x:v>unknown</x:v>
      </x:c>
      <x:c r="G311" s="19" t="str"/>
      <x:c r="H311" s="19" t="str">
        <x:v>https://psnet.ahrq.gov/web-mm/endometriosis-common-and-commonly-missed-and-delayed-diagnosis</x:v>
      </x:c>
      <x:c r="I311" s="19" t="str">
        <x:v>United States</x:v>
      </x:c>
      <x:c r="J311" s="19" t="str">
        <x:v>primary care; specialist clinic; hospital outpatient</x:v>
      </x:c>
      <x:c r="K311" s="19" t="str">
        <x:v>medical history; first clinician assessment; referral; specialist review</x:v>
      </x:c>
      <x:c r="L311" s="19" t="str">
        <x:v>Endometriosis</x:v>
      </x:c>
      <x:c r="M311" s="19" t="str">
        <x:v>unknown</x:v>
      </x:c>
      <x:c r="N311" s="19" t="str">
        <x:v>unknown</x:v>
      </x:c>
      <x:c r="O311" s="19" t="str">
        <x:v>unknown</x:v>
      </x:c>
      <x:c r="P311" s="19" t="str">
        <x:v>unknown</x:v>
      </x:c>
      <x:c r="Q311" s="19" t="str"/>
      <x:c r="R311" s="19" t="str">
        <x:v>Create menstrual + GI timeline capture, severity thresholds, and cross-specialty prompts for persistent dysmenorrhea.</x:v>
      </x:c>
      <x:c r="S311" s="19" t="str">
        <x:v>high</x:v>
      </x:c>
      <x:c r="T311" s="19" t="str">
        <x:v>02_extracted_evidence/evidence_items.csv</x:v>
      </x:c>
      <x:c r="U311" s="19" t="str">
        <x:v>research_evidence_package_missed_signals_diagnostic_errors_2026-05-30.tar.gz::02_extracted_evidence/evidence_items.csv::E-002</x:v>
      </x:c>
    </x:row>
    <x:row r="312">
      <x:c r="A312" s="19" t="str">
        <x:v>B_missed</x:v>
      </x:c>
      <x:c r="B312" s="19" t="str">
        <x:v>research_evidence_package_missed_signals_diagnostic_errors_2026-05-30.tar.gz</x:v>
      </x:c>
      <x:c r="C312" s="19" t="str">
        <x:v>Research B / missed signals and diagnostic errors</x:v>
      </x:c>
      <x:c r="D312" s="19" t="str">
        <x:v>evidence_item</x:v>
      </x:c>
      <x:c r="E312" s="19" t="str">
        <x:v>E-003</x:v>
      </x:c>
      <x:c r="F312" s="19" t="str">
        <x:v>unknown</x:v>
      </x:c>
      <x:c r="G312" s="19" t="str"/>
      <x:c r="H312" s="19" t="str">
        <x:v>https://psnet.ahrq.gov/web-mm/paroxysmal-supraventricular-tachycardia-masquerading-panic-attacks</x:v>
      </x:c>
      <x:c r="I312" s="19" t="str">
        <x:v>United States</x:v>
      </x:c>
      <x:c r="J312" s="19" t="str">
        <x:v>emergency department; primary care; specialist clinic</x:v>
      </x:c>
      <x:c r="K312" s="19" t="str">
        <x:v>first clinician assessment; labs/imaging interpretation; referral; repeat visit</x:v>
      </x:c>
      <x:c r="L312" s="19" t="str">
        <x:v>Paroxysmal supraventricular tachycardia (PSVT)</x:v>
      </x:c>
      <x:c r="M312" s="19" t="str">
        <x:v>unknown</x:v>
      </x:c>
      <x:c r="N312" s="19" t="str">
        <x:v>unknown</x:v>
      </x:c>
      <x:c r="O312" s="19" t="str">
        <x:v>unknown</x:v>
      </x:c>
      <x:c r="P312" s="19" t="str">
        <x:v>unknown</x:v>
      </x:c>
      <x:c r="Q312" s="19" t="str"/>
      <x:c r="R312" s="19" t="str">
        <x:v>Offer event-triggered monitoring workflows and a 'normal when asymptomatic' warning for episodic cardiopulmonary complaints.</x:v>
      </x:c>
      <x:c r="S312" s="19" t="str">
        <x:v>high</x:v>
      </x:c>
      <x:c r="T312" s="19" t="str">
        <x:v>02_extracted_evidence/evidence_items.csv</x:v>
      </x:c>
      <x:c r="U312" s="19" t="str">
        <x:v>research_evidence_package_missed_signals_diagnostic_errors_2026-05-30.tar.gz::02_extracted_evidence/evidence_items.csv::E-003</x:v>
      </x:c>
    </x:row>
    <x:row r="313">
      <x:c r="A313" s="19" t="str">
        <x:v>B_missed</x:v>
      </x:c>
      <x:c r="B313" s="19" t="str">
        <x:v>research_evidence_package_missed_signals_diagnostic_errors_2026-05-30.tar.gz</x:v>
      </x:c>
      <x:c r="C313" s="19" t="str">
        <x:v>Research B / missed signals and diagnostic errors</x:v>
      </x:c>
      <x:c r="D313" s="19" t="str">
        <x:v>evidence_item</x:v>
      </x:c>
      <x:c r="E313" s="19" t="str">
        <x:v>E-004</x:v>
      </x:c>
      <x:c r="F313" s="19" t="str">
        <x:v>unknown</x:v>
      </x:c>
      <x:c r="G313" s="19" t="str"/>
      <x:c r="H313" s="19" t="str">
        <x:v>https://psnet.ahrq.gov/web-mm/spinal-epidural-abscess</x:v>
      </x:c>
      <x:c r="I313" s="19" t="str">
        <x:v>United States</x:v>
      </x:c>
      <x:c r="J313" s="19" t="str">
        <x:v>emergency department; specialist clinic; hospital inpatient</x:v>
      </x:c>
      <x:c r="K313" s="19" t="str">
        <x:v>first clinician assessment; imaging ordered; imaging interpretation; repeat visit; emergency escalation</x:v>
      </x:c>
      <x:c r="L313" s="19" t="str">
        <x:v>Spinal epidural abscess</x:v>
      </x:c>
      <x:c r="M313" s="19" t="str">
        <x:v>unknown</x:v>
      </x:c>
      <x:c r="N313" s="19" t="str">
        <x:v>unknown</x:v>
      </x:c>
      <x:c r="O313" s="19" t="str">
        <x:v>unknown</x:v>
      </x:c>
      <x:c r="P313" s="19" t="str">
        <x:v>unknown</x:v>
      </x:c>
      <x:c r="Q313" s="19" t="str"/>
      <x:c r="R313" s="19" t="str">
        <x:v>Add imaging-scope alerts: negative limited MRI should not close diagnosis when pain/red flags are anatomically discordant.</x:v>
      </x:c>
      <x:c r="S313" s="19" t="str">
        <x:v>high</x:v>
      </x:c>
      <x:c r="T313" s="19" t="str">
        <x:v>02_extracted_evidence/evidence_items.csv</x:v>
      </x:c>
      <x:c r="U313" s="19" t="str">
        <x:v>research_evidence_package_missed_signals_diagnostic_errors_2026-05-30.tar.gz::02_extracted_evidence/evidence_items.csv::E-004</x:v>
      </x:c>
    </x:row>
    <x:row r="314">
      <x:c r="A314" s="19" t="str">
        <x:v>B_missed</x:v>
      </x:c>
      <x:c r="B314" s="19" t="str">
        <x:v>research_evidence_package_missed_signals_diagnostic_errors_2026-05-30.tar.gz</x:v>
      </x:c>
      <x:c r="C314" s="19" t="str">
        <x:v>Research B / missed signals and diagnostic errors</x:v>
      </x:c>
      <x:c r="D314" s="19" t="str">
        <x:v>evidence_item</x:v>
      </x:c>
      <x:c r="E314" s="19" t="str">
        <x:v>E-005</x:v>
      </x:c>
      <x:c r="F314" s="19" t="str">
        <x:v>unknown</x:v>
      </x:c>
      <x:c r="G314" s="19" t="str"/>
      <x:c r="H314" s="19" t="str">
        <x:v>https://psnet.ahrq.gov/web-mm/renal-failure-due-benign-prostatic-hyperplasia</x:v>
      </x:c>
      <x:c r="I314" s="19" t="str">
        <x:v>United States</x:v>
      </x:c>
      <x:c r="J314" s="19" t="str">
        <x:v>primary care; specialist clinic; emergency department</x:v>
      </x:c>
      <x:c r="K314" s="19" t="str">
        <x:v>medical history; specialist review; labs ordered; follow-up; emergency escalation</x:v>
      </x:c>
      <x:c r="L314" s="19" t="str">
        <x:v>Obstructive uropathy / renal failure from BPH</x:v>
      </x:c>
      <x:c r="M314" s="19" t="str">
        <x:v>unknown</x:v>
      </x:c>
      <x:c r="N314" s="19" t="str">
        <x:v>unknown</x:v>
      </x:c>
      <x:c r="O314" s="19" t="str">
        <x:v>unknown</x:v>
      </x:c>
      <x:c r="P314" s="19" t="str">
        <x:v>unknown</x:v>
      </x:c>
      <x:c r="Q314" s="19" t="str"/>
      <x:c r="R314" s="19" t="str">
        <x:v>Create hard-stop follow-up for extreme post-void residual: creatinine, catheter plan, teach-back, and owner assignment.</x:v>
      </x:c>
      <x:c r="S314" s="19" t="str">
        <x:v>high</x:v>
      </x:c>
      <x:c r="T314" s="19" t="str">
        <x:v>02_extracted_evidence/evidence_items.csv</x:v>
      </x:c>
      <x:c r="U314" s="19" t="str">
        <x:v>research_evidence_package_missed_signals_diagnostic_errors_2026-05-30.tar.gz::02_extracted_evidence/evidence_items.csv::E-005</x:v>
      </x:c>
    </x:row>
    <x:row r="315">
      <x:c r="A315" s="19" t="str">
        <x:v>B_missed</x:v>
      </x:c>
      <x:c r="B315" s="19" t="str">
        <x:v>research_evidence_package_missed_signals_diagnostic_errors_2026-05-30.tar.gz</x:v>
      </x:c>
      <x:c r="C315" s="19" t="str">
        <x:v>Research B / missed signals and diagnostic errors</x:v>
      </x:c>
      <x:c r="D315" s="19" t="str">
        <x:v>evidence_item</x:v>
      </x:c>
      <x:c r="E315" s="19" t="str">
        <x:v>E-006</x:v>
      </x:c>
      <x:c r="F315" s="19" t="str">
        <x:v>unknown</x:v>
      </x:c>
      <x:c r="G315" s="19" t="str"/>
      <x:c r="H315" s="19" t="str">
        <x:v>https://psnet.ahrq.gov/web-mm/do-not-miss-sepsis-needles-viral-haystacks</x:v>
      </x:c>
      <x:c r="I315" s="19" t="str">
        <x:v>United States</x:v>
      </x:c>
      <x:c r="J315" s="19" t="str">
        <x:v>emergency department</x:v>
      </x:c>
      <x:c r="K315" s="19" t="str">
        <x:v>nurse triage; vitals; first clinician assessment; labs/imaging ordered; discharge; repeat visit</x:v>
      </x:c>
      <x:c r="L315" s="19" t="str">
        <x:v>Pediatric sepsis / bacterial pneumonia / empyema</x:v>
      </x:c>
      <x:c r="M315" s="19" t="str">
        <x:v>unknown</x:v>
      </x:c>
      <x:c r="N315" s="19" t="str">
        <x:v>unknown</x:v>
      </x:c>
      <x:c r="O315" s="19" t="str">
        <x:v>unknown</x:v>
      </x:c>
      <x:c r="P315" s="19" t="str">
        <x:v>unknown</x:v>
      </x:c>
      <x:c r="Q315" s="19" t="str"/>
      <x:c r="R315" s="19" t="str">
        <x:v>Implement pediatric repeat-visit sepsis detector combining vitals, respiratory symptoms, labs, and recent discharge history.</x:v>
      </x:c>
      <x:c r="S315" s="19" t="str">
        <x:v>high</x:v>
      </x:c>
      <x:c r="T315" s="19" t="str">
        <x:v>02_extracted_evidence/evidence_items.csv</x:v>
      </x:c>
      <x:c r="U315" s="19" t="str">
        <x:v>research_evidence_package_missed_signals_diagnostic_errors_2026-05-30.tar.gz::02_extracted_evidence/evidence_items.csv::E-006</x:v>
      </x:c>
    </x:row>
    <x:row r="316">
      <x:c r="A316" s="19" t="str">
        <x:v>B_missed</x:v>
      </x:c>
      <x:c r="B316" s="19" t="str">
        <x:v>research_evidence_package_missed_signals_diagnostic_errors_2026-05-30.tar.gz</x:v>
      </x:c>
      <x:c r="C316" s="19" t="str">
        <x:v>Research B / missed signals and diagnostic errors</x:v>
      </x:c>
      <x:c r="D316" s="19" t="str">
        <x:v>evidence_item</x:v>
      </x:c>
      <x:c r="E316" s="19" t="str">
        <x:v>E-007</x:v>
      </x:c>
      <x:c r="F316" s="19" t="str">
        <x:v>unknown</x:v>
      </x:c>
      <x:c r="G316" s="19" t="str"/>
      <x:c r="H316" s="19" t="str">
        <x:v>https://psnet.ahrq.gov/web-mm/missing-ecg-and-missed-diagnosis-lead-dangerous-delay</x:v>
      </x:c>
      <x:c r="I316" s="19" t="str">
        <x:v>United States</x:v>
      </x:c>
      <x:c r="J316" s="19" t="str">
        <x:v>emergency department; inpatient ward</x:v>
      </x:c>
      <x:c r="K316" s="19" t="str">
        <x:v>arrival; nurse triage; imaging/lab ordered; handoff; follow-up</x:v>
      </x:c>
      <x:c r="L316" s="19" t="str">
        <x:v>ST-elevation myocardial infarction (STEMI)</x:v>
      </x:c>
      <x:c r="M316" s="19" t="str">
        <x:v>unknown</x:v>
      </x:c>
      <x:c r="N316" s="19" t="str">
        <x:v>unknown</x:v>
      </x:c>
      <x:c r="O316" s="19" t="str">
        <x:v>unknown</x:v>
      </x:c>
      <x:c r="P316" s="19" t="str">
        <x:v>unknown</x:v>
      </x:c>
      <x:c r="Q316" s="19" t="str"/>
      <x:c r="R316" s="19" t="str">
        <x:v>Require EMS ECG ingestion/acknowledgment and serial chest-pain testing checklist when initial high-risk data exists.</x:v>
      </x:c>
      <x:c r="S316" s="19" t="str">
        <x:v>high</x:v>
      </x:c>
      <x:c r="T316" s="19" t="str">
        <x:v>02_extracted_evidence/evidence_items.csv</x:v>
      </x:c>
      <x:c r="U316" s="19" t="str">
        <x:v>research_evidence_package_missed_signals_diagnostic_errors_2026-05-30.tar.gz::02_extracted_evidence/evidence_items.csv::E-007</x:v>
      </x:c>
    </x:row>
    <x:row r="317">
      <x:c r="A317" s="19" t="str">
        <x:v>B_missed</x:v>
      </x:c>
      <x:c r="B317" s="19" t="str">
        <x:v>research_evidence_package_missed_signals_diagnostic_errors_2026-05-30.tar.gz</x:v>
      </x:c>
      <x:c r="C317" s="19" t="str">
        <x:v>Research B / missed signals and diagnostic errors</x:v>
      </x:c>
      <x:c r="D317" s="19" t="str">
        <x:v>evidence_item</x:v>
      </x:c>
      <x:c r="E317" s="19" t="str">
        <x:v>E-008</x:v>
      </x:c>
      <x:c r="F317" s="19" t="str">
        <x:v>unknown</x:v>
      </x:c>
      <x:c r="G317" s="19" t="str"/>
      <x:c r="H317" s="19" t="str">
        <x:v>https://psnet.ahrq.gov/web-mm/delay-appropriate-diagnosis-and-treatment-leading-death-pulmonary-embolism</x:v>
      </x:c>
      <x:c r="I317" s="19" t="str">
        <x:v>United States</x:v>
      </x:c>
      <x:c r="J317" s="19" t="str">
        <x:v>emergency department; inpatient ward; intensive care</x:v>
      </x:c>
      <x:c r="K317" s="19" t="str">
        <x:v>first clinician assessment; imaging interpretation; handoff; emergency escalation</x:v>
      </x:c>
      <x:c r="L317" s="19" t="str">
        <x:v>Pulmonary embolism</x:v>
      </x:c>
      <x:c r="M317" s="19" t="str">
        <x:v>unknown</x:v>
      </x:c>
      <x:c r="N317" s="19" t="str">
        <x:v>unknown</x:v>
      </x:c>
      <x:c r="O317" s="19" t="str">
        <x:v>unknown</x:v>
      </x:c>
      <x:c r="P317" s="19" t="str">
        <x:v>unknown</x:v>
      </x:c>
      <x:c r="Q317" s="19" t="str"/>
      <x:c r="R317" s="19" t="str">
        <x:v>Add critical-result semantics: report should classify right-heart strain as escalation-required and track acknowledgment/action.</x:v>
      </x:c>
      <x:c r="S317" s="19" t="str">
        <x:v>high</x:v>
      </x:c>
      <x:c r="T317" s="19" t="str">
        <x:v>02_extracted_evidence/evidence_items.csv</x:v>
      </x:c>
      <x:c r="U317" s="19" t="str">
        <x:v>research_evidence_package_missed_signals_diagnostic_errors_2026-05-30.tar.gz::02_extracted_evidence/evidence_items.csv::E-008</x:v>
      </x:c>
    </x:row>
    <x:row r="318">
      <x:c r="A318" s="19" t="str">
        <x:v>B_missed</x:v>
      </x:c>
      <x:c r="B318" s="19" t="str">
        <x:v>research_evidence_package_missed_signals_diagnostic_errors_2026-05-30.tar.gz</x:v>
      </x:c>
      <x:c r="C318" s="19" t="str">
        <x:v>Research B / missed signals and diagnostic errors</x:v>
      </x:c>
      <x:c r="D318" s="19" t="str">
        <x:v>evidence_item</x:v>
      </x:c>
      <x:c r="E318" s="19" t="str">
        <x:v>E-009</x:v>
      </x:c>
      <x:c r="F318" s="19" t="str">
        <x:v>unknown</x:v>
      </x:c>
      <x:c r="G318" s="19" t="str"/>
      <x:c r="H318" s="19" t="str">
        <x:v>https://psnet.ahrq.gov/web-mm/delayed-diagnosis-mesenteric-ischemia</x:v>
      </x:c>
      <x:c r="I318" s="19" t="str">
        <x:v>United States</x:v>
      </x:c>
      <x:c r="J318" s="19" t="str">
        <x:v>primary care; emergency department; specialist clinic; inpatient ward</x:v>
      </x:c>
      <x:c r="K318" s="19" t="str">
        <x:v>medical history; labs/imaging ordered; referral; follow-up; repeat visit; specialist review</x:v>
      </x:c>
      <x:c r="L318" s="19" t="str">
        <x:v>Chronic mesenteric ischemia</x:v>
      </x:c>
      <x:c r="M318" s="19" t="str">
        <x:v>unknown</x:v>
      </x:c>
      <x:c r="N318" s="19" t="str">
        <x:v>unknown</x:v>
      </x:c>
      <x:c r="O318" s="19" t="str">
        <x:v>unknown</x:v>
      </x:c>
      <x:c r="P318" s="19" t="str">
        <x:v>unknown</x:v>
      </x:c>
      <x:c r="Q318" s="19" t="str"/>
      <x:c r="R318" s="19" t="str">
        <x:v>Build a longitudinal weight-loss + abdominal pain pattern recognizer and surface colleague concern as a tracked diagnostic signal.</x:v>
      </x:c>
      <x:c r="S318" s="19" t="str">
        <x:v>high</x:v>
      </x:c>
      <x:c r="T318" s="19" t="str">
        <x:v>02_extracted_evidence/evidence_items.csv</x:v>
      </x:c>
      <x:c r="U318" s="19" t="str">
        <x:v>research_evidence_package_missed_signals_diagnostic_errors_2026-05-30.tar.gz::02_extracted_evidence/evidence_items.csv::E-009</x:v>
      </x:c>
    </x:row>
    <x:row r="319">
      <x:c r="A319" s="19" t="str">
        <x:v>B_missed</x:v>
      </x:c>
      <x:c r="B319" s="19" t="str">
        <x:v>research_evidence_package_missed_signals_diagnostic_errors_2026-05-30.tar.gz</x:v>
      </x:c>
      <x:c r="C319" s="19" t="str">
        <x:v>Research B / missed signals and diagnostic errors</x:v>
      </x:c>
      <x:c r="D319" s="19" t="str">
        <x:v>evidence_item</x:v>
      </x:c>
      <x:c r="E319" s="19" t="str">
        <x:v>E-010</x:v>
      </x:c>
      <x:c r="F319" s="19" t="str">
        <x:v>unknown</x:v>
      </x:c>
      <x:c r="G319" s="19" t="str"/>
      <x:c r="H319" s="19" t="str">
        <x:v>https://psnet.ahrq.gov/web-mm/missed-appendicitis</x:v>
      </x:c>
      <x:c r="I319" s="19" t="str">
        <x:v>United States</x:v>
      </x:c>
      <x:c r="J319" s="19" t="str">
        <x:v>emergency department; primary care; inpatient ward</x:v>
      </x:c>
      <x:c r="K319" s="19" t="str">
        <x:v>first clinician assessment; physical exam; imaging ordered; discharge; repeat visit</x:v>
      </x:c>
      <x:c r="L319" s="19" t="str">
        <x:v>Appendicitis with perforation/abscess</x:v>
      </x:c>
      <x:c r="M319" s="19" t="str">
        <x:v>unknown</x:v>
      </x:c>
      <x:c r="N319" s="19" t="str">
        <x:v>unknown</x:v>
      </x:c>
      <x:c r="O319" s="19" t="str">
        <x:v>unknown</x:v>
      </x:c>
      <x:c r="P319" s="19" t="str">
        <x:v>unknown</x:v>
      </x:c>
      <x:c r="Q319" s="19" t="str"/>
      <x:c r="R319" s="19" t="str">
        <x:v>Use abdominal-pain discharge callbacks and return-triggered escalation for persistent or migrating pain.</x:v>
      </x:c>
      <x:c r="S319" s="19" t="str">
        <x:v>high</x:v>
      </x:c>
      <x:c r="T319" s="19" t="str">
        <x:v>02_extracted_evidence/evidence_items.csv</x:v>
      </x:c>
      <x:c r="U319" s="19" t="str">
        <x:v>research_evidence_package_missed_signals_diagnostic_errors_2026-05-30.tar.gz::02_extracted_evidence/evidence_items.csv::E-010</x:v>
      </x:c>
    </x:row>
    <x:row r="320">
      <x:c r="A320" s="19" t="str">
        <x:v>B_missed</x:v>
      </x:c>
      <x:c r="B320" s="19" t="str">
        <x:v>research_evidence_package_missed_signals_diagnostic_errors_2026-05-30.tar.gz</x:v>
      </x:c>
      <x:c r="C320" s="19" t="str">
        <x:v>Research B / missed signals and diagnostic errors</x:v>
      </x:c>
      <x:c r="D320" s="19" t="str">
        <x:v>evidence_item</x:v>
      </x:c>
      <x:c r="E320" s="19" t="str">
        <x:v>E-011</x:v>
      </x:c>
      <x:c r="F320" s="19" t="str">
        <x:v>unknown</x:v>
      </x:c>
      <x:c r="G320" s="19" t="str"/>
      <x:c r="H320" s="19" t="str">
        <x:v>https://psnet.ahrq.gov/web-mm/out-sight-out-mind-out-office-test-result-management</x:v>
      </x:c>
      <x:c r="I320" s="19" t="str">
        <x:v>United States</x:v>
      </x:c>
      <x:c r="J320" s="19" t="str">
        <x:v>specialist clinic; hospital outpatient</x:v>
      </x:c>
      <x:c r="K320" s="19" t="str">
        <x:v>labs ordered; lab interpretation; follow-up; specialist review</x:v>
      </x:c>
      <x:c r="L320" s="19" t="str">
        <x:v>Giant cell arteritis monitoring / relapse risk</x:v>
      </x:c>
      <x:c r="M320" s="19" t="str">
        <x:v>unknown</x:v>
      </x:c>
      <x:c r="N320" s="19" t="str">
        <x:v>unknown</x:v>
      </x:c>
      <x:c r="O320" s="19" t="str">
        <x:v>unknown</x:v>
      </x:c>
      <x:c r="P320" s="19" t="str">
        <x:v>unknown</x:v>
      </x:c>
      <x:c r="Q320" s="19" t="str"/>
      <x:c r="R320" s="19" t="str">
        <x:v>Enforce patient-identifier confirmation, abnormal-result task persistence, and coverage acknowledgment until action completed.</x:v>
      </x:c>
      <x:c r="S320" s="19" t="str">
        <x:v>high</x:v>
      </x:c>
      <x:c r="T320" s="19" t="str">
        <x:v>02_extracted_evidence/evidence_items.csv</x:v>
      </x:c>
      <x:c r="U320" s="19" t="str">
        <x:v>research_evidence_package_missed_signals_diagnostic_errors_2026-05-30.tar.gz::02_extracted_evidence/evidence_items.csv::E-011</x:v>
      </x:c>
    </x:row>
    <x:row r="321">
      <x:c r="A321" s="19" t="str">
        <x:v>B_missed</x:v>
      </x:c>
      <x:c r="B321" s="19" t="str">
        <x:v>research_evidence_package_missed_signals_diagnostic_errors_2026-05-30.tar.gz</x:v>
      </x:c>
      <x:c r="C321" s="19" t="str">
        <x:v>Research B / missed signals and diagnostic errors</x:v>
      </x:c>
      <x:c r="D321" s="19" t="str">
        <x:v>evidence_item</x:v>
      </x:c>
      <x:c r="E321" s="19" t="str">
        <x:v>E-012</x:v>
      </x:c>
      <x:c r="F321" s="19" t="str">
        <x:v>unknown</x:v>
      </x:c>
      <x:c r="G321" s="19" t="str"/>
      <x:c r="H321" s="19" t="str">
        <x:v>https://psnet.ahrq.gov/web-mm/delayed-recognition-positive-blood-culture</x:v>
      </x:c>
      <x:c r="I321" s="19" t="str">
        <x:v>United States</x:v>
      </x:c>
      <x:c r="J321" s="19" t="str">
        <x:v>inpatient ward; discharge; follow-up</x:v>
      </x:c>
      <x:c r="K321" s="19" t="str">
        <x:v>lab interpretation; discharge; handoff; follow-up</x:v>
      </x:c>
      <x:c r="L321" s="19" t="str">
        <x:v>Listeria bacteremia</x:v>
      </x:c>
      <x:c r="M321" s="19" t="str">
        <x:v>unknown</x:v>
      </x:c>
      <x:c r="N321" s="19" t="str">
        <x:v>unknown</x:v>
      </x:c>
      <x:c r="O321" s="19" t="str">
        <x:v>unknown</x:v>
      </x:c>
      <x:c r="P321" s="19" t="str">
        <x:v>unknown</x:v>
      </x:c>
      <x:c r="Q321" s="19" t="str"/>
      <x:c r="R321" s="19" t="str">
        <x:v>Create post-discharge microbiology result queue with accountable owner, escalation, and contamination-vs-pathogen context.</x:v>
      </x:c>
      <x:c r="S321" s="19" t="str">
        <x:v>high</x:v>
      </x:c>
      <x:c r="T321" s="19" t="str">
        <x:v>02_extracted_evidence/evidence_items.csv</x:v>
      </x:c>
      <x:c r="U321" s="19" t="str">
        <x:v>research_evidence_package_missed_signals_diagnostic_errors_2026-05-30.tar.gz::02_extracted_evidence/evidence_items.csv::E-012</x:v>
      </x:c>
    </x:row>
    <x:row r="322">
      <x:c r="A322" s="19" t="str">
        <x:v>B_missed</x:v>
      </x:c>
      <x:c r="B322" s="19" t="str">
        <x:v>research_evidence_package_missed_signals_diagnostic_errors_2026-05-30.tar.gz</x:v>
      </x:c>
      <x:c r="C322" s="19" t="str">
        <x:v>Research B / missed signals and diagnostic errors</x:v>
      </x:c>
      <x:c r="D322" s="19" t="str">
        <x:v>evidence_item</x:v>
      </x:c>
      <x:c r="E322" s="19" t="str">
        <x:v>E-013</x:v>
      </x:c>
      <x:c r="F322" s="19" t="str">
        <x:v>unknown</x:v>
      </x:c>
      <x:c r="G322" s="19" t="str"/>
      <x:c r="H322" s="19" t="str">
        <x:v>https://psnet.ahrq.gov/web-mm/delayed-diagnosis-endocrinologic-emergencies</x:v>
      </x:c>
      <x:c r="I322" s="19" t="str">
        <x:v>United States</x:v>
      </x:c>
      <x:c r="J322" s="19" t="str">
        <x:v>emergency department; inpatient ward</x:v>
      </x:c>
      <x:c r="K322" s="19" t="str">
        <x:v>medical history; labs ordered; lab interpretation; inpatient reassessment</x:v>
      </x:c>
      <x:c r="L322" s="19" t="str">
        <x:v>Thyroid storm</x:v>
      </x:c>
      <x:c r="M322" s="19" t="str">
        <x:v>unknown</x:v>
      </x:c>
      <x:c r="N322" s="19" t="str">
        <x:v>unknown</x:v>
      </x:c>
      <x:c r="O322" s="19" t="str">
        <x:v>unknown</x:v>
      </x:c>
      <x:c r="P322" s="19" t="str">
        <x:v>unknown</x:v>
      </x:c>
      <x:c r="Q322" s="19" t="str"/>
      <x:c r="R322" s="19" t="str">
        <x:v>Connect medication nonadherence due to cost + vital-sign pattern + pending labs into endocrine emergency alerts.</x:v>
      </x:c>
      <x:c r="S322" s="19" t="str">
        <x:v>high</x:v>
      </x:c>
      <x:c r="T322" s="19" t="str">
        <x:v>02_extracted_evidence/evidence_items.csv</x:v>
      </x:c>
      <x:c r="U322" s="19" t="str">
        <x:v>research_evidence_package_missed_signals_diagnostic_errors_2026-05-30.tar.gz::02_extracted_evidence/evidence_items.csv::E-013</x:v>
      </x:c>
    </x:row>
    <x:row r="323">
      <x:c r="A323" s="19" t="str">
        <x:v>B_missed</x:v>
      </x:c>
      <x:c r="B323" s="19" t="str">
        <x:v>research_evidence_package_missed_signals_diagnostic_errors_2026-05-30.tar.gz</x:v>
      </x:c>
      <x:c r="C323" s="19" t="str">
        <x:v>Research B / missed signals and diagnostic errors</x:v>
      </x:c>
      <x:c r="D323" s="19" t="str">
        <x:v>evidence_item</x:v>
      </x:c>
      <x:c r="E323" s="19" t="str">
        <x:v>E-014</x:v>
      </x:c>
      <x:c r="F323" s="19" t="str">
        <x:v>unknown</x:v>
      </x:c>
      <x:c r="G323" s="19" t="str"/>
      <x:c r="H323" s="19" t="str">
        <x:v>https://psnet.ahrq.gov/web-mm/delayed-diagnosis-endocrinologic-emergencies</x:v>
      </x:c>
      <x:c r="I323" s="19" t="str">
        <x:v>United States</x:v>
      </x:c>
      <x:c r="J323" s="19" t="str">
        <x:v>emergency department; inpatient ward; repeat admissions</x:v>
      </x:c>
      <x:c r="K323" s="19" t="str">
        <x:v>repeat visit; medical history; lab interpretation; long-term monitoring</x:v>
      </x:c>
      <x:c r="L323" s="19" t="str">
        <x:v>Myxedema coma / severe hypothyroidism</x:v>
      </x:c>
      <x:c r="M323" s="19" t="str">
        <x:v>unknown</x:v>
      </x:c>
      <x:c r="N323" s="19" t="str">
        <x:v>unknown</x:v>
      </x:c>
      <x:c r="O323" s="19" t="str">
        <x:v>unknown</x:v>
      </x:c>
      <x:c r="P323" s="19" t="str">
        <x:v>unknown</x:v>
      </x:c>
      <x:c r="Q323" s="19" t="str"/>
      <x:c r="R323" s="19" t="str">
        <x:v>Add repeat-admission diagnostic reset that surfaces unresolved abnormal labs and medication-risk links such as amiodarone-thyroid disease.</x:v>
      </x:c>
      <x:c r="S323" s="19" t="str">
        <x:v>high</x:v>
      </x:c>
      <x:c r="T323" s="19" t="str">
        <x:v>02_extracted_evidence/evidence_items.csv</x:v>
      </x:c>
      <x:c r="U323" s="19" t="str">
        <x:v>research_evidence_package_missed_signals_diagnostic_errors_2026-05-30.tar.gz::02_extracted_evidence/evidence_items.csv::E-014</x:v>
      </x:c>
    </x:row>
    <x:row r="324">
      <x:c r="A324" s="19" t="str">
        <x:v>B_missed</x:v>
      </x:c>
      <x:c r="B324" s="19" t="str">
        <x:v>research_evidence_package_missed_signals_diagnostic_errors_2026-05-30.tar.gz</x:v>
      </x:c>
      <x:c r="C324" s="19" t="str">
        <x:v>Research B / missed signals and diagnostic errors</x:v>
      </x:c>
      <x:c r="D324" s="19" t="str">
        <x:v>evidence_item</x:v>
      </x:c>
      <x:c r="E324" s="19" t="str">
        <x:v>E-015</x:v>
      </x:c>
      <x:c r="F324" s="19" t="str">
        <x:v>unknown</x:v>
      </x:c>
      <x:c r="G324" s="19" t="str"/>
      <x:c r="H324" s="19" t="str">
        <x:v>https://psnet.ahrq.gov/web-mm/myasthenia-crisis-after-delayed-diagnosis-medically-complex-patient</x:v>
      </x:c>
      <x:c r="I324" s="19" t="str">
        <x:v>United States</x:v>
      </x:c>
      <x:c r="J324" s="19" t="str">
        <x:v>emergency department; inpatient ward; specialist clinic; follow-up</x:v>
      </x:c>
      <x:c r="K324" s="19" t="str">
        <x:v>labs ordered; lab interpretation; discharge; specialist review; repeat visit</x:v>
      </x:c>
      <x:c r="L324" s="19" t="str">
        <x:v>Myasthenia gravis / myasthenic crisis</x:v>
      </x:c>
      <x:c r="M324" s="19" t="str">
        <x:v>unknown</x:v>
      </x:c>
      <x:c r="N324" s="19" t="str">
        <x:v>unknown</x:v>
      </x:c>
      <x:c r="O324" s="19" t="str">
        <x:v>unknown</x:v>
      </x:c>
      <x:c r="P324" s="19" t="str">
        <x:v>unknown</x:v>
      </x:c>
      <x:c r="Q324" s="19" t="str"/>
      <x:c r="R324" s="19" t="str">
        <x:v>Flag discordance between finalized lab results and notes that still say 'pending'; require abnormal-result diagnosis reconciliation before discharge.</x:v>
      </x:c>
      <x:c r="S324" s="19" t="str">
        <x:v>high</x:v>
      </x:c>
      <x:c r="T324" s="19" t="str">
        <x:v>02_extracted_evidence/evidence_items.csv</x:v>
      </x:c>
      <x:c r="U324" s="19" t="str">
        <x:v>research_evidence_package_missed_signals_diagnostic_errors_2026-05-30.tar.gz::02_extracted_evidence/evidence_items.csv::E-015</x:v>
      </x:c>
    </x:row>
    <x:row r="325">
      <x:c r="A325" s="19" t="str">
        <x:v>B_missed</x:v>
      </x:c>
      <x:c r="B325" s="19" t="str">
        <x:v>research_evidence_package_missed_signals_diagnostic_errors_2026-05-30.tar.gz</x:v>
      </x:c>
      <x:c r="C325" s="19" t="str">
        <x:v>Research B / missed signals and diagnostic errors</x:v>
      </x:c>
      <x:c r="D325" s="19" t="str">
        <x:v>evidence_item</x:v>
      </x:c>
      <x:c r="E325" s="19" t="str">
        <x:v>E-016</x:v>
      </x:c>
      <x:c r="F325" s="19" t="str">
        <x:v>unknown</x:v>
      </x:c>
      <x:c r="G325" s="19" t="str"/>
      <x:c r="H325" s="19" t="str">
        <x:v>https://psnet.ahrq.gov/web-mm/missing-large-vessel-occlusion-stroke-patient-history-seizures</x:v>
      </x:c>
      <x:c r="I325" s="19" t="str">
        <x:v>United States</x:v>
      </x:c>
      <x:c r="J325" s="19" t="str">
        <x:v>emergency department; specialist review; inpatient ward</x:v>
      </x:c>
      <x:c r="K325" s="19" t="str">
        <x:v>nurse triage; first clinician assessment; imaging ordered; specialist review</x:v>
      </x:c>
      <x:c r="L325" s="19" t="str">
        <x:v>Large-vessel occlusion ischemic stroke</x:v>
      </x:c>
      <x:c r="M325" s="19" t="str">
        <x:v>unknown</x:v>
      </x:c>
      <x:c r="N325" s="19" t="str">
        <x:v>unknown</x:v>
      </x:c>
      <x:c r="O325" s="19" t="str">
        <x:v>unknown</x:v>
      </x:c>
      <x:c r="P325" s="19" t="str">
        <x:v>unknown</x:v>
      </x:c>
      <x:c r="Q325" s="19" t="str"/>
      <x:c r="R325" s="19" t="str">
        <x:v>Stroke-first pathway: require LVO exclusion before seizure explanation when focal deficits persist or presentation is high-risk.</x:v>
      </x:c>
      <x:c r="S325" s="19" t="str">
        <x:v>high</x:v>
      </x:c>
      <x:c r="T325" s="19" t="str">
        <x:v>02_extracted_evidence/evidence_items.csv</x:v>
      </x:c>
      <x:c r="U325" s="19" t="str">
        <x:v>research_evidence_package_missed_signals_diagnostic_errors_2026-05-30.tar.gz::02_extracted_evidence/evidence_items.csv::E-016</x:v>
      </x:c>
    </x:row>
    <x:row r="326">
      <x:c r="A326" s="19" t="str">
        <x:v>B_missed</x:v>
      </x:c>
      <x:c r="B326" s="19" t="str">
        <x:v>research_evidence_package_missed_signals_diagnostic_errors_2026-05-30.tar.gz</x:v>
      </x:c>
      <x:c r="C326" s="19" t="str">
        <x:v>Research B / missed signals and diagnostic errors</x:v>
      </x:c>
      <x:c r="D326" s="19" t="str">
        <x:v>evidence_item</x:v>
      </x:c>
      <x:c r="E326" s="19" t="str">
        <x:v>E-017</x:v>
      </x:c>
      <x:c r="F326" s="19" t="str">
        <x:v>unknown</x:v>
      </x:c>
      <x:c r="G326" s="19" t="str"/>
      <x:c r="H326" s="19" t="str">
        <x:v>https://psnet.ahrq.gov/web-mm/critical-echocardiogram-result-lost-follow</x:v>
      </x:c>
      <x:c r="I326" s="19" t="str">
        <x:v>United States</x:v>
      </x:c>
      <x:c r="J326" s="19" t="str">
        <x:v>inpatient ward; discharge; skilled nursing facility; repeat admission</x:v>
      </x:c>
      <x:c r="K326" s="19" t="str">
        <x:v>imaging interpretation; discharge; follow-up; repeat visit</x:v>
      </x:c>
      <x:c r="L326" s="19" t="str">
        <x:v>Endocarditis / infected pacemaker wires</x:v>
      </x:c>
      <x:c r="M326" s="19" t="str">
        <x:v>unknown</x:v>
      </x:c>
      <x:c r="N326" s="19" t="str">
        <x:v>unknown</x:v>
      </x:c>
      <x:c r="O326" s="19" t="str">
        <x:v>unknown</x:v>
      </x:c>
      <x:c r="P326" s="19" t="str">
        <x:v>unknown</x:v>
      </x:c>
      <x:c r="Q326" s="19" t="str"/>
      <x:c r="R326" s="19" t="str">
        <x:v>Discharge-pending-test dashboard with responsible owner, recipient, criticality, and closure proof.</x:v>
      </x:c>
      <x:c r="S326" s="19" t="str">
        <x:v>high</x:v>
      </x:c>
      <x:c r="T326" s="19" t="str">
        <x:v>02_extracted_evidence/evidence_items.csv</x:v>
      </x:c>
      <x:c r="U326" s="19" t="str">
        <x:v>research_evidence_package_missed_signals_diagnostic_errors_2026-05-30.tar.gz::02_extracted_evidence/evidence_items.csv::E-017</x:v>
      </x:c>
    </x:row>
    <x:row r="327">
      <x:c r="A327" s="19" t="str">
        <x:v>B_missed</x:v>
      </x:c>
      <x:c r="B327" s="19" t="str">
        <x:v>research_evidence_package_missed_signals_diagnostic_errors_2026-05-30.tar.gz</x:v>
      </x:c>
      <x:c r="C327" s="19" t="str">
        <x:v>Research B / missed signals and diagnostic errors</x:v>
      </x:c>
      <x:c r="D327" s="19" t="str">
        <x:v>evidence_item</x:v>
      </x:c>
      <x:c r="E327" s="19" t="str">
        <x:v>E-018</x:v>
      </x:c>
      <x:c r="F327" s="19" t="str">
        <x:v>S-005</x:v>
      </x:c>
      <x:c r="G327" s="19" t="str">
        <x:v>HSSIB radiology follow-up investigation</x:v>
      </x:c>
      <x:c r="H327" s="19" t="str">
        <x:v>https://www.hssib.org.uk/patient-safety-investigations/failures-in-communication-or-follow-up-of-unexpected-significant-radiological-findings/investigation-report/</x:v>
      </x:c>
      <x:c r="I327" s="19" t="str">
        <x:v>England / United Kingdom</x:v>
      </x:c>
      <x:c r="J327" s="19" t="str">
        <x:v>emergency department; hospital outpatient; referral</x:v>
      </x:c>
      <x:c r="K327" s="19" t="str">
        <x:v>imaging interpretation; discharge; referral; follow-up</x:v>
      </x:c>
      <x:c r="L327" s="19" t="str">
        <x:v>Possible lung cancer or other unexpected significant radiology finding</x:v>
      </x:c>
      <x:c r="M327" s="19" t="str">
        <x:v>unknown</x:v>
      </x:c>
      <x:c r="N327" s="19" t="str">
        <x:v>unknown</x:v>
      </x:c>
      <x:c r="O327" s="19" t="str">
        <x:v>unknown</x:v>
      </x:c>
      <x:c r="P327" s="19" t="str">
        <x:v>unknown</x:v>
      </x:c>
      <x:c r="Q327" s="19" t="str"/>
      <x:c r="R327" s="19" t="str">
        <x:v>Create radiology finding lifecycle: unexpected finding -&gt; recipient acknowledgment -&gt; patient notification -&gt; referral action -&gt; closure.</x:v>
      </x:c>
      <x:c r="S327" s="19" t="str">
        <x:v>high</x:v>
      </x:c>
      <x:c r="T327" s="19" t="str">
        <x:v>02_extracted_evidence/evidence_items.csv</x:v>
      </x:c>
      <x:c r="U327" s="19" t="str">
        <x:v>research_evidence_package_missed_signals_diagnostic_errors_2026-05-30.tar.gz::02_extracted_evidence/evidence_items.csv::E-018</x:v>
      </x:c>
    </x:row>
    <x:row r="328">
      <x:c r="A328" s="19" t="str">
        <x:v>B_missed</x:v>
      </x:c>
      <x:c r="B328" s="19" t="str">
        <x:v>research_evidence_package_missed_signals_diagnostic_errors_2026-05-30.tar.gz</x:v>
      </x:c>
      <x:c r="C328" s="19" t="str">
        <x:v>Research B / missed signals and diagnostic errors</x:v>
      </x:c>
      <x:c r="D328" s="19" t="str">
        <x:v>evidence_item</x:v>
      </x:c>
      <x:c r="E328" s="19" t="str">
        <x:v>E-019</x:v>
      </x:c>
      <x:c r="F328" s="19" t="str">
        <x:v>S-006</x:v>
      </x:c>
      <x:c r="G328" s="19" t="str">
        <x:v>Woman diagnosed with terminal cervical cancer after NHS missed smear tests</x:v>
      </x:c>
      <x:c r="H328" s="19" t="str">
        <x:v>https://www.independent.co.uk/news/health/cervical-cancer-screens-misdiagnosis-nhs-b2563898.html</x:v>
      </x:c>
      <x:c r="I328" s="19" t="str">
        <x:v>England / United Kingdom</x:v>
      </x:c>
      <x:c r="J328" s="19" t="str">
        <x:v>public health screening; specialist clinic; hospital outpatient</x:v>
      </x:c>
      <x:c r="K328" s="19" t="str">
        <x:v>public health screening; lab interpretation; diagnosis discussion; follow-up</x:v>
      </x:c>
      <x:c r="L328" s="19" t="str">
        <x:v>Cervical cancer</x:v>
      </x:c>
      <x:c r="M328" s="19" t="str">
        <x:v>unknown</x:v>
      </x:c>
      <x:c r="N328" s="19" t="str">
        <x:v>unknown</x:v>
      </x:c>
      <x:c r="O328" s="19" t="str">
        <x:v>unknown</x:v>
      </x:c>
      <x:c r="P328" s="19" t="str">
        <x:v>unknown</x:v>
      </x:c>
      <x:c r="Q328" s="19" t="str"/>
      <x:c r="R328" s="19" t="str">
        <x:v>Screening safety layer: patient-visible abnormal-history timeline, second-review triggers, and symptom/result reconciliation.</x:v>
      </x:c>
      <x:c r="S328" s="19" t="str">
        <x:v>medium</x:v>
      </x:c>
      <x:c r="T328" s="19" t="str">
        <x:v>02_extracted_evidence/evidence_items.csv</x:v>
      </x:c>
      <x:c r="U328" s="19" t="str">
        <x:v>research_evidence_package_missed_signals_diagnostic_errors_2026-05-30.tar.gz::02_extracted_evidence/evidence_items.csv::E-019</x:v>
      </x:c>
    </x:row>
    <x:row r="329">
      <x:c r="A329" s="19" t="str">
        <x:v>B_missed</x:v>
      </x:c>
      <x:c r="B329" s="19" t="str">
        <x:v>research_evidence_package_missed_signals_diagnostic_errors_2026-05-30.tar.gz</x:v>
      </x:c>
      <x:c r="C329" s="19" t="str">
        <x:v>Research B / missed signals and diagnostic errors</x:v>
      </x:c>
      <x:c r="D329" s="19" t="str">
        <x:v>evidence_item</x:v>
      </x:c>
      <x:c r="E329" s="19" t="str">
        <x:v>E-020</x:v>
      </x:c>
      <x:c r="F329" s="19" t="str">
        <x:v>S-007</x:v>
      </x:c>
      <x:c r="G329" s="19" t="str">
        <x:v>Long covid and medical gaslighting</x:v>
      </x:c>
      <x:c r="H329" s="19" t="str">
        <x:v>https://www.sciencedirect.com/science/article/pii/S2667321522001299</x:v>
      </x:c>
      <x:c r="I329" s="19" t="str">
        <x:v>United States</x:v>
      </x:c>
      <x:c r="J329" s="19" t="str">
        <x:v>primary care; specialist clinic; telehealth</x:v>
      </x:c>
      <x:c r="K329" s="19" t="str">
        <x:v>first clinician assessment; medical history; diagnosis discussion; referral; long-term monitoring</x:v>
      </x:c>
      <x:c r="L329" s="19" t="str">
        <x:v>Long COVID / post-acute sequelae of COVID-19</x:v>
      </x:c>
      <x:c r="M329" s="19" t="str">
        <x:v>unknown</x:v>
      </x:c>
      <x:c r="N329" s="19" t="str">
        <x:v>unknown</x:v>
      </x:c>
      <x:c r="O329" s="19" t="str">
        <x:v>unknown</x:v>
      </x:c>
      <x:c r="P329" s="19" t="str">
        <x:v>unknown</x:v>
      </x:c>
      <x:c r="Q329" s="19" t="str"/>
      <x:c r="R329" s="19" t="str">
        <x:v>Capture patient-generated longitudinal symptom burden and prevent closure solely because routine tests are normal.</x:v>
      </x:c>
      <x:c r="S329" s="19" t="str">
        <x:v>medium</x:v>
      </x:c>
      <x:c r="T329" s="19" t="str">
        <x:v>02_extracted_evidence/evidence_items.csv</x:v>
      </x:c>
      <x:c r="U329" s="19" t="str">
        <x:v>research_evidence_package_missed_signals_diagnostic_errors_2026-05-30.tar.gz::02_extracted_evidence/evidence_items.csv::E-020</x:v>
      </x:c>
    </x:row>
    <x:row r="330">
      <x:c r="A330" s="19" t="str">
        <x:v>B_missed</x:v>
      </x:c>
      <x:c r="B330" s="19" t="str">
        <x:v>research_evidence_package_missed_signals_diagnostic_errors_2026-05-30.tar.gz</x:v>
      </x:c>
      <x:c r="C330" s="19" t="str">
        <x:v>Research B / missed signals and diagnostic errors</x:v>
      </x:c>
      <x:c r="D330" s="19" t="str">
        <x:v>evidence_item</x:v>
      </x:c>
      <x:c r="E330" s="19" t="str">
        <x:v>E-021</x:v>
      </x:c>
      <x:c r="F330" s="19" t="str">
        <x:v>S-008</x:v>
      </x:c>
      <x:c r="G330" s="19" t="str">
        <x:v>Dysautonomia International POTS Patient Survey</x:v>
      </x:c>
      <x:c r="H330" s="19" t="str">
        <x:v>https://www.dysautonomiainternational.org/page.php?ID=184</x:v>
      </x:c>
      <x:c r="I330" s="19" t="str">
        <x:v>International / mostly patient-reported</x:v>
      </x:c>
      <x:c r="J330" s="19" t="str">
        <x:v>primary care; emergency department; specialist clinic</x:v>
      </x:c>
      <x:c r="K330" s="19" t="str">
        <x:v>medical history; first clinician assessment; referral; specialist review; long-term monitoring</x:v>
      </x:c>
      <x:c r="L330" s="19" t="str">
        <x:v>Dysautonomia / POTS</x:v>
      </x:c>
      <x:c r="M330" s="19" t="str">
        <x:v>unknown</x:v>
      </x:c>
      <x:c r="N330" s="19" t="str">
        <x:v>unknown</x:v>
      </x:c>
      <x:c r="O330" s="19" t="str">
        <x:v>unknown</x:v>
      </x:c>
      <x:c r="P330" s="19" t="str">
        <x:v>unknown</x:v>
      </x:c>
      <x:c r="Q330" s="19" t="str"/>
      <x:c r="R330" s="19" t="str">
        <x:v>Add orthostatic-vital workflow and patient-triggered POTS screener for recurrent tachycardia/dizziness/fatigue complaints.</x:v>
      </x:c>
      <x:c r="S330" s="19" t="str">
        <x:v>medium</x:v>
      </x:c>
      <x:c r="T330" s="19" t="str">
        <x:v>02_extracted_evidence/evidence_items.csv</x:v>
      </x:c>
      <x:c r="U330" s="19" t="str">
        <x:v>research_evidence_package_missed_signals_diagnostic_errors_2026-05-30.tar.gz::02_extracted_evidence/evidence_items.csv::E-021</x:v>
      </x:c>
    </x:row>
    <x:row r="331">
      <x:c r="A331" s="19" t="str">
        <x:v>B_missed</x:v>
      </x:c>
      <x:c r="B331" s="19" t="str">
        <x:v>research_evidence_package_missed_signals_diagnostic_errors_2026-05-30.tar.gz</x:v>
      </x:c>
      <x:c r="C331" s="19" t="str">
        <x:v>Research B / missed signals and diagnostic errors</x:v>
      </x:c>
      <x:c r="D331" s="19" t="str">
        <x:v>evidence_item</x:v>
      </x:c>
      <x:c r="E331" s="19" t="str">
        <x:v>E-022</x:v>
      </x:c>
      <x:c r="F331" s="19" t="str">
        <x:v>S-009</x:v>
      </x:c>
      <x:c r="G331" s="19" t="str">
        <x:v>Devon woman with ME inquest report</x:v>
      </x:c>
      <x:c r="H331" s="19" t="str">
        <x:v>https://www.theguardian.com/society/article/2024/jul/22/devon-woman-with-me-asked-gp-to-help-her-get-enough-food-to-live-inquest-hears</x:v>
      </x:c>
      <x:c r="I331" s="19" t="str">
        <x:v>England / United Kingdom</x:v>
      </x:c>
      <x:c r="J331" s="19" t="str">
        <x:v>primary care; hospital inpatient; home/community visit</x:v>
      </x:c>
      <x:c r="K331" s="19" t="str">
        <x:v>before visit; first clinician assessment; inpatient assessment; discharge; long-term monitoring</x:v>
      </x:c>
      <x:c r="L331" s="19" t="str">
        <x:v>Severe ME/CFS with malnutrition/dehydration risk</x:v>
      </x:c>
      <x:c r="M331" s="19" t="str">
        <x:v>unknown</x:v>
      </x:c>
      <x:c r="N331" s="19" t="str">
        <x:v>unknown</x:v>
      </x:c>
      <x:c r="O331" s="19" t="str">
        <x:v>unknown</x:v>
      </x:c>
      <x:c r="P331" s="19" t="str">
        <x:v>unknown</x:v>
      </x:c>
      <x:c r="Q331" s="19" t="str"/>
      <x:c r="R331" s="19" t="str">
        <x:v>Track functional intake, hydration, and care capacity as clinical red flags, not just social notes.</x:v>
      </x:c>
      <x:c r="S331" s="19" t="str">
        <x:v>medium</x:v>
      </x:c>
      <x:c r="T331" s="19" t="str">
        <x:v>02_extracted_evidence/evidence_items.csv</x:v>
      </x:c>
      <x:c r="U331" s="19" t="str">
        <x:v>research_evidence_package_missed_signals_diagnostic_errors_2026-05-30.tar.gz::02_extracted_evidence/evidence_items.csv::E-022</x:v>
      </x:c>
    </x:row>
    <x:row r="332">
      <x:c r="A332" s="19" t="str">
        <x:v>B_missed</x:v>
      </x:c>
      <x:c r="B332" s="19" t="str">
        <x:v>research_evidence_package_missed_signals_diagnostic_errors_2026-05-30.tar.gz</x:v>
      </x:c>
      <x:c r="C332" s="19" t="str">
        <x:v>Research B / missed signals and diagnostic errors</x:v>
      </x:c>
      <x:c r="D332" s="19" t="str">
        <x:v>evidence_item</x:v>
      </x:c>
      <x:c r="E332" s="19" t="str">
        <x:v>E-023</x:v>
      </x:c>
      <x:c r="F332" s="19" t="str">
        <x:v>S-010</x:v>
      </x:c>
      <x:c r="G332" s="19" t="str">
        <x:v>Lupus personal essay</x:v>
      </x:c>
      <x:c r="H332" s="19" t="str">
        <x:v>https://www.popsugar.com/health/how-i-got-my-lupus-diagnosis-personal-essay-49345999</x:v>
      </x:c>
      <x:c r="I332" s="19" t="str">
        <x:v>United States</x:v>
      </x:c>
      <x:c r="J332" s="19" t="str">
        <x:v>primary care; specialist clinic</x:v>
      </x:c>
      <x:c r="K332" s="19" t="str">
        <x:v>medical history; labs ordered; lab interpretation; referral; patient self-advocacy</x:v>
      </x:c>
      <x:c r="L332" s="19" t="str">
        <x:v>Lupus / systemic autoimmune disease</x:v>
      </x:c>
      <x:c r="M332" s="19" t="str">
        <x:v>unknown</x:v>
      </x:c>
      <x:c r="N332" s="19" t="str">
        <x:v>unknown</x:v>
      </x:c>
      <x:c r="O332" s="19" t="str">
        <x:v>unknown</x:v>
      </x:c>
      <x:c r="P332" s="19" t="str">
        <x:v>unknown</x:v>
      </x:c>
      <x:c r="Q332" s="19" t="str"/>
      <x:c r="R332" s="19" t="str">
        <x:v>Give patients structured way to upload symptom photos, family history, and flare timelines; flag repeated systemic symptoms even with normal basic labs.</x:v>
      </x:c>
      <x:c r="S332" s="19" t="str">
        <x:v>low</x:v>
      </x:c>
      <x:c r="T332" s="19" t="str">
        <x:v>02_extracted_evidence/evidence_items.csv</x:v>
      </x:c>
      <x:c r="U332" s="19" t="str">
        <x:v>research_evidence_package_missed_signals_diagnostic_errors_2026-05-30.tar.gz::02_extracted_evidence/evidence_items.csv::E-023</x:v>
      </x:c>
    </x:row>
    <x:row r="333">
      <x:c r="A333" s="19" t="str">
        <x:v>B_missed</x:v>
      </x:c>
      <x:c r="B333" s="19" t="str">
        <x:v>research_evidence_package_missed_signals_diagnostic_errors_2026-05-30.tar.gz</x:v>
      </x:c>
      <x:c r="C333" s="19" t="str">
        <x:v>Research B / missed signals and diagnostic errors</x:v>
      </x:c>
      <x:c r="D333" s="19" t="str">
        <x:v>evidence_item</x:v>
      </x:c>
      <x:c r="E333" s="19" t="str">
        <x:v>E-024</x:v>
      </x:c>
      <x:c r="F333" s="19" t="str">
        <x:v>S-011</x:v>
      </x:c>
      <x:c r="G333" s="19" t="str">
        <x:v>Claire's Story: Gender Bias &amp; the Long Road to Diagnosis</x:v>
      </x:c>
      <x:c r="H333" s="19" t="str">
        <x:v>https://www.autoimmuneinstitute.org/autoimmune_stories/claires-story-gender-bias-the-long-road-to-diagnosis/</x:v>
      </x:c>
      <x:c r="I333" s="19" t="str">
        <x:v>United States</x:v>
      </x:c>
      <x:c r="J333" s="19" t="str">
        <x:v>primary care; specialist clinic; inpatient ward; emergency department</x:v>
      </x:c>
      <x:c r="K333" s="19" t="str">
        <x:v>medical history; referral; specialist review; repeat visit; emergency escalation</x:v>
      </x:c>
      <x:c r="L333" s="19" t="str">
        <x:v>Crohn's disease / inflammatory bowel disease</x:v>
      </x:c>
      <x:c r="M333" s="19" t="str">
        <x:v>unknown</x:v>
      </x:c>
      <x:c r="N333" s="19" t="str">
        <x:v>unknown</x:v>
      </x:c>
      <x:c r="O333" s="19" t="str">
        <x:v>unknown</x:v>
      </x:c>
      <x:c r="P333" s="19" t="str">
        <x:v>unknown</x:v>
      </x:c>
      <x:c r="Q333" s="19" t="str"/>
      <x:c r="R333" s="19" t="str">
        <x:v>Use red-flag pediatric/adolescent GI triggers: weight loss, fractures/malnutrition, recurrent admissions, infections, and persistent abdominal pain.</x:v>
      </x:c>
      <x:c r="S333" s="19" t="str">
        <x:v>low</x:v>
      </x:c>
      <x:c r="T333" s="19" t="str">
        <x:v>02_extracted_evidence/evidence_items.csv</x:v>
      </x:c>
      <x:c r="U333" s="19" t="str">
        <x:v>research_evidence_package_missed_signals_diagnostic_errors_2026-05-30.tar.gz::02_extracted_evidence/evidence_items.csv::E-024</x:v>
      </x:c>
    </x:row>
    <x:row r="334">
      <x:c r="A334" s="19" t="str">
        <x:v>B_missed</x:v>
      </x:c>
      <x:c r="B334" s="19" t="str">
        <x:v>research_evidence_package_missed_signals_diagnostic_errors_2026-05-30.tar.gz</x:v>
      </x:c>
      <x:c r="C334" s="19" t="str">
        <x:v>Research B / missed signals and diagnostic errors</x:v>
      </x:c>
      <x:c r="D334" s="19" t="str">
        <x:v>evidence_item</x:v>
      </x:c>
      <x:c r="E334" s="19" t="str">
        <x:v>E-025</x:v>
      </x:c>
      <x:c r="F334" s="19" t="str">
        <x:v>S-012</x:v>
      </x:c>
      <x:c r="G334" s="19" t="str">
        <x:v>Pathways to cervical cancer diagnosis among women in Accra, Ghana</x:v>
      </x:c>
      <x:c r="H334" s="19" t="str">
        <x:v>https://doaj.org/article/7ae6f62fe6174a639fc8a63fd8a97cfd</x:v>
      </x:c>
      <x:c r="I334" s="19" t="str">
        <x:v>Ghana</x:v>
      </x:c>
      <x:c r="J334" s="19" t="str">
        <x:v>primary care; hospital outpatient; public health screening; traditional/community care</x:v>
      </x:c>
      <x:c r="K334" s="19" t="str">
        <x:v>before visit; first clinician assessment; referral; labs/imaging ordered; repeat visit</x:v>
      </x:c>
      <x:c r="L334" s="19" t="str">
        <x:v>Cervical cancer</x:v>
      </x:c>
      <x:c r="M334" s="19" t="str">
        <x:v>unknown</x:v>
      </x:c>
      <x:c r="N334" s="19" t="str">
        <x:v>unknown</x:v>
      </x:c>
      <x:c r="O334" s="19" t="str">
        <x:v>unknown</x:v>
      </x:c>
      <x:c r="P334" s="19" t="str">
        <x:v>unknown</x:v>
      </x:c>
      <x:c r="Q334" s="19" t="str"/>
      <x:c r="R334" s="19" t="str">
        <x:v>Design culturally aware referral prompts and community-to-clinic escalation tools for persistent gynecologic symptoms.</x:v>
      </x:c>
      <x:c r="S334" s="19" t="str">
        <x:v>medium</x:v>
      </x:c>
      <x:c r="T334" s="19" t="str">
        <x:v>02_extracted_evidence/evidence_items.csv</x:v>
      </x:c>
      <x:c r="U334" s="19" t="str">
        <x:v>research_evidence_package_missed_signals_diagnostic_errors_2026-05-30.tar.gz::02_extracted_evidence/evidence_items.csv::E-025</x:v>
      </x:c>
    </x:row>
    <x:row r="335">
      <x:c r="A335" s="19" t="str">
        <x:v>B_missed</x:v>
      </x:c>
      <x:c r="B335" s="19" t="str">
        <x:v>research_evidence_package_missed_signals_diagnostic_errors_2026-05-30.tar.gz</x:v>
      </x:c>
      <x:c r="C335" s="19" t="str">
        <x:v>Research B / missed signals and diagnostic errors</x:v>
      </x:c>
      <x:c r="D335" s="19" t="str">
        <x:v>evidence_item</x:v>
      </x:c>
      <x:c r="E335" s="19" t="str">
        <x:v>E-026</x:v>
      </x:c>
      <x:c r="F335" s="19" t="str">
        <x:v>S-013</x:v>
      </x:c>
      <x:c r="G335" s="19" t="str">
        <x:v>Barriers to prompt and effective malaria treatment among children in western Kenya</x:v>
      </x:c>
      <x:c r="H335" s="19" t="str">
        <x:v>https://journals.plos.org/globalpublichealth/article?id=10.1371/journal.pgph.0001532</x:v>
      </x:c>
      <x:c r="I335" s="19" t="str">
        <x:v>Kenya</x:v>
      </x:c>
      <x:c r="J335" s="19" t="str">
        <x:v>community health center; rural clinic; low-resource clinic</x:v>
      </x:c>
      <x:c r="K335" s="19" t="str">
        <x:v>before visit; nurse triage; labs ordered; lab interpretation; treatment decision</x:v>
      </x:c>
      <x:c r="L335" s="19" t="str">
        <x:v>Malaria / febrile illness in children</x:v>
      </x:c>
      <x:c r="M335" s="19" t="str">
        <x:v>unknown</x:v>
      </x:c>
      <x:c r="N335" s="19" t="str">
        <x:v>unknown</x:v>
      </x:c>
      <x:c r="O335" s="19" t="str">
        <x:v>unknown</x:v>
      </x:c>
      <x:c r="P335" s="19" t="str">
        <x:v>unknown</x:v>
      </x:c>
      <x:c r="Q335" s="19" t="str"/>
      <x:c r="R335" s="19" t="str">
        <x:v>Expose stockout-aware decision support: if RDT unavailable, record reason, alternative testing/referral, and follow-up safety net.</x:v>
      </x:c>
      <x:c r="S335" s="19" t="str">
        <x:v>high</x:v>
      </x:c>
      <x:c r="T335" s="19" t="str">
        <x:v>02_extracted_evidence/evidence_items.csv</x:v>
      </x:c>
      <x:c r="U335" s="19" t="str">
        <x:v>research_evidence_package_missed_signals_diagnostic_errors_2026-05-30.tar.gz::02_extracted_evidence/evidence_items.csv::E-026</x:v>
      </x:c>
    </x:row>
    <x:row r="336">
      <x:c r="A336" s="19" t="str">
        <x:v>B_missed</x:v>
      </x:c>
      <x:c r="B336" s="19" t="str">
        <x:v>research_evidence_package_missed_signals_diagnostic_errors_2026-05-30.tar.gz</x:v>
      </x:c>
      <x:c r="C336" s="19" t="str">
        <x:v>Research B / missed signals and diagnostic errors</x:v>
      </x:c>
      <x:c r="D336" s="19" t="str">
        <x:v>evidence_item</x:v>
      </x:c>
      <x:c r="E336" s="19" t="str">
        <x:v>E-027</x:v>
      </x:c>
      <x:c r="F336" s="19" t="str">
        <x:v>S-014</x:v>
      </x:c>
      <x:c r="G336" s="19" t="str">
        <x:v>Malaria RDT stockouts and readiness in Mozambique</x:v>
      </x:c>
      <x:c r="H336" s="19" t="str">
        <x:v>https://link.springer.com/article/10.1186/1475-2875-13-295</x:v>
      </x:c>
      <x:c r="I336" s="19" t="str">
        <x:v>Mozambique</x:v>
      </x:c>
      <x:c r="J336" s="19" t="str">
        <x:v>low-resource clinic; public health screening; community health center</x:v>
      </x:c>
      <x:c r="K336" s="19" t="str">
        <x:v>labs ordered; lab interpretation; treatment decision; public health surveillance</x:v>
      </x:c>
      <x:c r="L336" s="19" t="str">
        <x:v>Malaria / febrile illness</x:v>
      </x:c>
      <x:c r="M336" s="19" t="str">
        <x:v>unknown</x:v>
      </x:c>
      <x:c r="N336" s="19" t="str">
        <x:v>unknown</x:v>
      </x:c>
      <x:c r="O336" s="19" t="str">
        <x:v>unknown</x:v>
      </x:c>
      <x:c r="P336" s="19" t="str">
        <x:v>unknown</x:v>
      </x:c>
      <x:c r="Q336" s="19" t="str"/>
      <x:c r="R336" s="19" t="str">
        <x:v>Integrate diagnostic stock telemetry into triage and surveillance; trigger restock/escalation before depletion.</x:v>
      </x:c>
      <x:c r="S336" s="19" t="str">
        <x:v>high</x:v>
      </x:c>
      <x:c r="T336" s="19" t="str">
        <x:v>02_extracted_evidence/evidence_items.csv</x:v>
      </x:c>
      <x:c r="U336" s="19" t="str">
        <x:v>research_evidence_package_missed_signals_diagnostic_errors_2026-05-30.tar.gz::02_extracted_evidence/evidence_items.csv::E-027</x:v>
      </x:c>
    </x:row>
    <x:row r="337">
      <x:c r="A337" s="19" t="str">
        <x:v>B_missed</x:v>
      </x:c>
      <x:c r="B337" s="19" t="str">
        <x:v>research_evidence_package_missed_signals_diagnostic_errors_2026-05-30.tar.gz</x:v>
      </x:c>
      <x:c r="C337" s="19" t="str">
        <x:v>Research B / missed signals and diagnostic errors</x:v>
      </x:c>
      <x:c r="D337" s="19" t="str">
        <x:v>evidence_item</x:v>
      </x:c>
      <x:c r="E337" s="19" t="str">
        <x:v>E-028</x:v>
      </x:c>
      <x:c r="F337" s="19" t="str">
        <x:v>S-015</x:v>
      </x:c>
      <x:c r="G337" s="19" t="str">
        <x:v>COVID-19 and Tuberculosis Co-Occurrence and Missed Opportunities</x:v>
      </x:c>
      <x:c r="H337" s="19" t="str">
        <x:v>https://wwwnc.cdc.gov/eid/article/30/1/23-0924_article</x:v>
      </x:c>
      <x:c r="I337" s="19" t="str">
        <x:v>California, United States</x:v>
      </x:c>
      <x:c r="J337" s="19" t="str">
        <x:v>emergency department; urgent care; primary care; inpatient ward</x:v>
      </x:c>
      <x:c r="K337" s="19" t="str">
        <x:v>first clinician assessment; labs/imaging ordered; repeat visit; diagnosis discussion</x:v>
      </x:c>
      <x:c r="L337" s="19" t="str">
        <x:v>Tuberculosis with COVID-19 co-occurrence or differential</x:v>
      </x:c>
      <x:c r="M337" s="19" t="str">
        <x:v>unknown</x:v>
      </x:c>
      <x:c r="N337" s="19" t="str">
        <x:v>unknown</x:v>
      </x:c>
      <x:c r="O337" s="19" t="str">
        <x:v>unknown</x:v>
      </x:c>
      <x:c r="P337" s="19" t="str">
        <x:v>unknown</x:v>
      </x:c>
      <x:c r="Q337" s="19" t="str"/>
      <x:c r="R337" s="19" t="str">
        <x:v>Differential guardrail for syndromic overlap: when COVID is positive but TB risk/imaging exists, require TB-test decision capture.</x:v>
      </x:c>
      <x:c r="S337" s="19" t="str">
        <x:v>high</x:v>
      </x:c>
      <x:c r="T337" s="19" t="str">
        <x:v>02_extracted_evidence/evidence_items.csv</x:v>
      </x:c>
      <x:c r="U337" s="19" t="str">
        <x:v>research_evidence_package_missed_signals_diagnostic_errors_2026-05-30.tar.gz::02_extracted_evidence/evidence_items.csv::E-028</x:v>
      </x:c>
    </x:row>
    <x:row r="338">
      <x:c r="A338" s="19" t="str">
        <x:v>B_missed</x:v>
      </x:c>
      <x:c r="B338" s="19" t="str">
        <x:v>research_evidence_package_missed_signals_diagnostic_errors_2026-05-30.tar.gz</x:v>
      </x:c>
      <x:c r="C338" s="19" t="str">
        <x:v>Research B / missed signals and diagnostic errors</x:v>
      </x:c>
      <x:c r="D338" s="19" t="str">
        <x:v>evidence_item</x:v>
      </x:c>
      <x:c r="E338" s="19" t="str">
        <x:v>E-029</x:v>
      </x:c>
      <x:c r="F338" s="19" t="str">
        <x:v>S-004</x:v>
      </x:c>
      <x:c r="G338" s="19" t="str">
        <x:v>Betsy Lehman Center diagnostic-error case studies</x:v>
      </x:c>
      <x:c r="H338" s="19" t="str">
        <x:v>https://betsylehmancenterma.gov/best-practices/diagnostic-error/case-studies</x:v>
      </x:c>
      <x:c r="I338" s="19" t="str">
        <x:v>United States</x:v>
      </x:c>
      <x:c r="J338" s="19" t="str">
        <x:v>emergency department; specialist clinic</x:v>
      </x:c>
      <x:c r="K338" s="19" t="str">
        <x:v>emergency escalation; imaging interpretation; referral; repeat visit</x:v>
      </x:c>
      <x:c r="L338" s="19" t="str">
        <x:v>Lymphangioleiomyomatosis (LAM)</x:v>
      </x:c>
      <x:c r="M338" s="19" t="str">
        <x:v>unknown</x:v>
      </x:c>
      <x:c r="N338" s="19" t="str">
        <x:v>unknown</x:v>
      </x:c>
      <x:c r="O338" s="19" t="str">
        <x:v>unknown</x:v>
      </x:c>
      <x:c r="P338" s="19" t="str">
        <x:v>unknown</x:v>
      </x:c>
      <x:c r="Q338" s="19" t="str"/>
      <x:c r="R338" s="19" t="str">
        <x:v>Turn radiology pattern + demographic + recurrence into referral prompts for rare but serious diseases.</x:v>
      </x:c>
      <x:c r="S338" s="19" t="str">
        <x:v>medium</x:v>
      </x:c>
      <x:c r="T338" s="19" t="str">
        <x:v>02_extracted_evidence/evidence_items.csv</x:v>
      </x:c>
      <x:c r="U338" s="19" t="str">
        <x:v>research_evidence_package_missed_signals_diagnostic_errors_2026-05-30.tar.gz::02_extracted_evidence/evidence_items.csv::E-029</x:v>
      </x:c>
    </x:row>
    <x:row r="339">
      <x:c r="A339" s="19" t="str">
        <x:v>B_missed</x:v>
      </x:c>
      <x:c r="B339" s="19" t="str">
        <x:v>research_evidence_package_missed_signals_diagnostic_errors_2026-05-30.tar.gz</x:v>
      </x:c>
      <x:c r="C339" s="19" t="str">
        <x:v>Research B / missed signals and diagnostic errors</x:v>
      </x:c>
      <x:c r="D339" s="19" t="str">
        <x:v>evidence_item</x:v>
      </x:c>
      <x:c r="E339" s="19" t="str">
        <x:v>E-030</x:v>
      </x:c>
      <x:c r="F339" s="19" t="str">
        <x:v>S-004</x:v>
      </x:c>
      <x:c r="G339" s="19" t="str">
        <x:v>Betsy Lehman Center diagnostic-error case studies</x:v>
      </x:c>
      <x:c r="H339" s="19" t="str">
        <x:v>https://betsylehmancenterma.gov/best-practices/diagnostic-error/case-studies</x:v>
      </x:c>
      <x:c r="I339" s="19" t="str">
        <x:v>United States</x:v>
      </x:c>
      <x:c r="J339" s="19" t="str">
        <x:v>emergency department; urgent care</x:v>
      </x:c>
      <x:c r="K339" s="19" t="str">
        <x:v>arrival; first clinician assessment; physical exam; imaging ordered; repeat visit; emergency escalation</x:v>
      </x:c>
      <x:c r="L339" s="19" t="str">
        <x:v>Testicular torsion</x:v>
      </x:c>
      <x:c r="M339" s="19" t="str">
        <x:v>unknown</x:v>
      </x:c>
      <x:c r="N339" s="19" t="str">
        <x:v>unknown</x:v>
      </x:c>
      <x:c r="O339" s="19" t="str">
        <x:v>unknown</x:v>
      </x:c>
      <x:c r="P339" s="19" t="str">
        <x:v>unknown</x:v>
      </x:c>
      <x:c r="Q339" s="19" t="str"/>
      <x:c r="R339" s="19" t="str">
        <x:v>For adolescent male abdominal pain/vomiting, force testicular symptom/exam prompt and urgent ultrasound timer.</x:v>
      </x:c>
      <x:c r="S339" s="19" t="str">
        <x:v>medium</x:v>
      </x:c>
      <x:c r="T339" s="19" t="str">
        <x:v>02_extracted_evidence/evidence_items.csv</x:v>
      </x:c>
      <x:c r="U339" s="19" t="str">
        <x:v>research_evidence_package_missed_signals_diagnostic_errors_2026-05-30.tar.gz::02_extracted_evidence/evidence_items.csv::E-030</x:v>
      </x:c>
    </x:row>
    <x:row r="340">
      <x:c r="A340" s="19" t="str">
        <x:v>B_missed</x:v>
      </x:c>
      <x:c r="B340" s="19" t="str">
        <x:v>research_evidence_package_missed_signals_diagnostic_errors_2026-05-30.tar.gz</x:v>
      </x:c>
      <x:c r="C340" s="19" t="str">
        <x:v>Research B / missed signals and diagnostic errors</x:v>
      </x:c>
      <x:c r="D340" s="19" t="str">
        <x:v>evidence_item</x:v>
      </x:c>
      <x:c r="E340" s="19" t="str">
        <x:v>E-031</x:v>
      </x:c>
      <x:c r="F340" s="19" t="str">
        <x:v>S-004</x:v>
      </x:c>
      <x:c r="G340" s="19" t="str">
        <x:v>Betsy Lehman Center diagnostic-error case studies</x:v>
      </x:c>
      <x:c r="H340" s="19" t="str">
        <x:v>https://betsylehmancenterma.gov/best-practices/diagnostic-error/case-studies</x:v>
      </x:c>
      <x:c r="I340" s="19" t="str">
        <x:v>United States</x:v>
      </x:c>
      <x:c r="J340" s="19" t="str">
        <x:v>primary care; emergency department; hospital outpatient</x:v>
      </x:c>
      <x:c r="K340" s="19" t="str">
        <x:v>before visit; medical history; referral; follow-up; emergency escalation</x:v>
      </x:c>
      <x:c r="L340" s="19" t="str">
        <x:v>Colon cancer</x:v>
      </x:c>
      <x:c r="M340" s="19" t="str">
        <x:v>unknown</x:v>
      </x:c>
      <x:c r="N340" s="19" t="str">
        <x:v>unknown</x:v>
      </x:c>
      <x:c r="O340" s="19" t="str">
        <x:v>unknown</x:v>
      </x:c>
      <x:c r="P340" s="19" t="str">
        <x:v>unknown</x:v>
      </x:c>
      <x:c r="Q340" s="19" t="str"/>
      <x:c r="R340" s="19" t="str">
        <x:v>Offer safety-net tracking for uninsured/high-risk patients with family-history red flags and incomplete workups.</x:v>
      </x:c>
      <x:c r="S340" s="19" t="str">
        <x:v>medium</x:v>
      </x:c>
      <x:c r="T340" s="19" t="str">
        <x:v>02_extracted_evidence/evidence_items.csv</x:v>
      </x:c>
      <x:c r="U340" s="19" t="str">
        <x:v>research_evidence_package_missed_signals_diagnostic_errors_2026-05-30.tar.gz::02_extracted_evidence/evidence_items.csv::E-031</x:v>
      </x:c>
    </x:row>
    <x:row r="341">
      <x:c r="A341" s="19" t="str">
        <x:v>B_missed</x:v>
      </x:c>
      <x:c r="B341" s="19" t="str">
        <x:v>research_evidence_package_missed_signals_diagnostic_errors_2026-05-30.tar.gz</x:v>
      </x:c>
      <x:c r="C341" s="19" t="str">
        <x:v>Research B / missed signals and diagnostic errors</x:v>
      </x:c>
      <x:c r="D341" s="19" t="str">
        <x:v>evidence_item</x:v>
      </x:c>
      <x:c r="E341" s="19" t="str">
        <x:v>E-032</x:v>
      </x:c>
      <x:c r="F341" s="19" t="str">
        <x:v>S-004</x:v>
      </x:c>
      <x:c r="G341" s="19" t="str">
        <x:v>Betsy Lehman Center diagnostic-error case studies</x:v>
      </x:c>
      <x:c r="H341" s="19" t="str">
        <x:v>https://betsylehmancenterma.gov/best-practices/diagnostic-error/case-studies</x:v>
      </x:c>
      <x:c r="I341" s="19" t="str">
        <x:v>United States</x:v>
      </x:c>
      <x:c r="J341" s="19" t="str">
        <x:v>urgent care; primary care; specialist clinic</x:v>
      </x:c>
      <x:c r="K341" s="19" t="str">
        <x:v>first clinician assessment; medical history; referral; specialist review; follow-up</x:v>
      </x:c>
      <x:c r="L341" s="19" t="str">
        <x:v>Myasthenia gravis</x:v>
      </x:c>
      <x:c r="M341" s="19" t="str">
        <x:v>unknown</x:v>
      </x:c>
      <x:c r="N341" s="19" t="str">
        <x:v>unknown</x:v>
      </x:c>
      <x:c r="O341" s="19" t="str">
        <x:v>unknown</x:v>
      </x:c>
      <x:c r="P341" s="19" t="str">
        <x:v>unknown</x:v>
      </x:c>
      <x:c r="Q341" s="19" t="str"/>
      <x:c r="R341" s="19" t="str">
        <x:v>Use progressive nonspecific-symptom timelines plus neuromuscular checklists before closing as routine fatigue/weight loss.</x:v>
      </x:c>
      <x:c r="S341" s="19" t="str">
        <x:v>medium</x:v>
      </x:c>
      <x:c r="T341" s="19" t="str">
        <x:v>02_extracted_evidence/evidence_items.csv</x:v>
      </x:c>
      <x:c r="U341" s="19" t="str">
        <x:v>research_evidence_package_missed_signals_diagnostic_errors_2026-05-30.tar.gz::02_extracted_evidence/evidence_items.csv::E-032</x:v>
      </x:c>
    </x:row>
    <x:row r="342">
      <x:c r="A342" s="19" t="str">
        <x:v>B_missed</x:v>
      </x:c>
      <x:c r="B342" s="19" t="str">
        <x:v>research_evidence_package_missed_signals_diagnostic_errors_2026-05-30.tar.gz</x:v>
      </x:c>
      <x:c r="C342" s="19" t="str">
        <x:v>Research B / missed signals and diagnostic errors</x:v>
      </x:c>
      <x:c r="D342" s="19" t="str">
        <x:v>case</x:v>
      </x:c>
      <x:c r="E342" s="19" t="str">
        <x:v>B-001</x:v>
      </x:c>
      <x:c r="F342" s="19" t="str">
        <x:v>unknown</x:v>
      </x:c>
      <x:c r="G342" s="19" t="str"/>
      <x:c r="H342" s="19" t="str">
        <x:v>https://psnet.ahrq.gov/web-mm/anemia-and-delayed-colon-cancer-diagnosis</x:v>
      </x:c>
      <x:c r="I342" s="19" t="str">
        <x:v>United States</x:v>
      </x:c>
      <x:c r="J342" s="19" t="str">
        <x:v>primary care; specialist clinic; hospital inpatient</x:v>
      </x:c>
      <x:c r="K342" s="19" t="str">
        <x:v>medical history; labs ordered; lab interpretation; referral; repeat visit</x:v>
      </x:c>
      <x:c r="L342" s="19" t="str">
        <x:v>Colon cancer after iron-deficiency anemia</x:v>
      </x:c>
      <x:c r="M342" s="19" t="str">
        <x:v>medical history; labs ordered; lab interpretation; referral; repeat visit</x:v>
      </x:c>
      <x:c r="N342" s="19" t="str">
        <x:v>Anemia and Delayed Colon Cancer Diagnosis</x:v>
      </x:c>
      <x:c r="O342" s="19" t="str">
        <x:v>unknown</x:v>
      </x:c>
      <x:c r="P342" s="19" t="str">
        <x:v>unknown</x:v>
      </x:c>
      <x:c r="Q342" s="19" t="str">
        <x:v>unknown</x:v>
      </x:c>
      <x:c r="R342" s="19" t="str">
        <x:v>Build longitudinal anemia trend + prior-normal-test guardrail that asks: does this old test still explain today's signal?</x:v>
      </x:c>
      <x:c r="S342" s="19" t="str">
        <x:v>high</x:v>
      </x:c>
      <x:c r="T342" s="19" t="str">
        <x:v>02_extracted_evidence/cases_or_examples.csv</x:v>
      </x:c>
      <x:c r="U342" s="19" t="str">
        <x:v>research_evidence_package_missed_signals_diagnostic_errors_2026-05-30.tar.gz::02_extracted_evidence/cases_or_examples.csv::B-001</x:v>
      </x:c>
    </x:row>
    <x:row r="343">
      <x:c r="A343" s="19" t="str">
        <x:v>B_missed</x:v>
      </x:c>
      <x:c r="B343" s="19" t="str">
        <x:v>research_evidence_package_missed_signals_diagnostic_errors_2026-05-30.tar.gz</x:v>
      </x:c>
      <x:c r="C343" s="19" t="str">
        <x:v>Research B / missed signals and diagnostic errors</x:v>
      </x:c>
      <x:c r="D343" s="19" t="str">
        <x:v>case</x:v>
      </x:c>
      <x:c r="E343" s="19" t="str">
        <x:v>B-002</x:v>
      </x:c>
      <x:c r="F343" s="19" t="str">
        <x:v>unknown</x:v>
      </x:c>
      <x:c r="G343" s="19" t="str"/>
      <x:c r="H343" s="19" t="str">
        <x:v>https://psnet.ahrq.gov/web-mm/endometriosis-common-and-commonly-missed-and-delayed-diagnosis</x:v>
      </x:c>
      <x:c r="I343" s="19" t="str">
        <x:v>United States</x:v>
      </x:c>
      <x:c r="J343" s="19" t="str">
        <x:v>primary care; specialist clinic; hospital outpatient</x:v>
      </x:c>
      <x:c r="K343" s="19" t="str">
        <x:v>medical history; first clinician assessment; referral; specialist review</x:v>
      </x:c>
      <x:c r="L343" s="19" t="str">
        <x:v>Endometriosis</x:v>
      </x:c>
      <x:c r="M343" s="19" t="str">
        <x:v>medical history; first clinician assessment; referral; specialist review</x:v>
      </x:c>
      <x:c r="N343" s="19" t="str">
        <x:v>Endometriosis: A Common and Commonly Missed and Delayed Diagnosis</x:v>
      </x:c>
      <x:c r="O343" s="19" t="str">
        <x:v>unknown</x:v>
      </x:c>
      <x:c r="P343" s="19" t="str">
        <x:v>unknown</x:v>
      </x:c>
      <x:c r="Q343" s="19" t="str">
        <x:v>unknown</x:v>
      </x:c>
      <x:c r="R343" s="19" t="str">
        <x:v>Create menstrual + GI timeline capture, severity thresholds, and cross-specialty prompts for persistent dysmenorrhea.</x:v>
      </x:c>
      <x:c r="S343" s="19" t="str">
        <x:v>high</x:v>
      </x:c>
      <x:c r="T343" s="19" t="str">
        <x:v>02_extracted_evidence/cases_or_examples.csv</x:v>
      </x:c>
      <x:c r="U343" s="19" t="str">
        <x:v>research_evidence_package_missed_signals_diagnostic_errors_2026-05-30.tar.gz::02_extracted_evidence/cases_or_examples.csv::B-002</x:v>
      </x:c>
    </x:row>
    <x:row r="344">
      <x:c r="A344" s="19" t="str">
        <x:v>B_missed</x:v>
      </x:c>
      <x:c r="B344" s="19" t="str">
        <x:v>research_evidence_package_missed_signals_diagnostic_errors_2026-05-30.tar.gz</x:v>
      </x:c>
      <x:c r="C344" s="19" t="str">
        <x:v>Research B / missed signals and diagnostic errors</x:v>
      </x:c>
      <x:c r="D344" s="19" t="str">
        <x:v>case</x:v>
      </x:c>
      <x:c r="E344" s="19" t="str">
        <x:v>B-003</x:v>
      </x:c>
      <x:c r="F344" s="19" t="str">
        <x:v>unknown</x:v>
      </x:c>
      <x:c r="G344" s="19" t="str"/>
      <x:c r="H344" s="19" t="str">
        <x:v>https://psnet.ahrq.gov/web-mm/paroxysmal-supraventricular-tachycardia-masquerading-panic-attacks</x:v>
      </x:c>
      <x:c r="I344" s="19" t="str">
        <x:v>United States</x:v>
      </x:c>
      <x:c r="J344" s="19" t="str">
        <x:v>emergency department; primary care; specialist clinic</x:v>
      </x:c>
      <x:c r="K344" s="19" t="str">
        <x:v>first clinician assessment; labs/imaging interpretation; referral; repeat visit</x:v>
      </x:c>
      <x:c r="L344" s="19" t="str">
        <x:v>Paroxysmal supraventricular tachycardia (PSVT)</x:v>
      </x:c>
      <x:c r="M344" s="19" t="str">
        <x:v>first clinician assessment; labs/imaging interpretation; referral; repeat visit</x:v>
      </x:c>
      <x:c r="N344" s="19" t="str">
        <x:v>Paroxysmal Supraventricular Tachycardia Masquerading as Panic Attacks</x:v>
      </x:c>
      <x:c r="O344" s="19" t="str">
        <x:v>unknown</x:v>
      </x:c>
      <x:c r="P344" s="19" t="str">
        <x:v>unknown</x:v>
      </x:c>
      <x:c r="Q344" s="19" t="str">
        <x:v>unknown</x:v>
      </x:c>
      <x:c r="R344" s="19" t="str">
        <x:v>Offer event-triggered monitoring workflows and a 'normal when asymptomatic' warning for episodic cardiopulmonary complaints.</x:v>
      </x:c>
      <x:c r="S344" s="19" t="str">
        <x:v>high</x:v>
      </x:c>
      <x:c r="T344" s="19" t="str">
        <x:v>02_extracted_evidence/cases_or_examples.csv</x:v>
      </x:c>
      <x:c r="U344" s="19" t="str">
        <x:v>research_evidence_package_missed_signals_diagnostic_errors_2026-05-30.tar.gz::02_extracted_evidence/cases_or_examples.csv::B-003</x:v>
      </x:c>
    </x:row>
    <x:row r="345">
      <x:c r="A345" s="19" t="str">
        <x:v>B_missed</x:v>
      </x:c>
      <x:c r="B345" s="19" t="str">
        <x:v>research_evidence_package_missed_signals_diagnostic_errors_2026-05-30.tar.gz</x:v>
      </x:c>
      <x:c r="C345" s="19" t="str">
        <x:v>Research B / missed signals and diagnostic errors</x:v>
      </x:c>
      <x:c r="D345" s="19" t="str">
        <x:v>case</x:v>
      </x:c>
      <x:c r="E345" s="19" t="str">
        <x:v>B-004</x:v>
      </x:c>
      <x:c r="F345" s="19" t="str">
        <x:v>unknown</x:v>
      </x:c>
      <x:c r="G345" s="19" t="str"/>
      <x:c r="H345" s="19" t="str">
        <x:v>https://psnet.ahrq.gov/web-mm/spinal-epidural-abscess</x:v>
      </x:c>
      <x:c r="I345" s="19" t="str">
        <x:v>United States</x:v>
      </x:c>
      <x:c r="J345" s="19" t="str">
        <x:v>emergency department; specialist clinic; hospital inpatient</x:v>
      </x:c>
      <x:c r="K345" s="19" t="str">
        <x:v>first clinician assessment; imaging ordered; imaging interpretation; repeat visit; emergency escalation</x:v>
      </x:c>
      <x:c r="L345" s="19" t="str">
        <x:v>Spinal epidural abscess</x:v>
      </x:c>
      <x:c r="M345" s="19" t="str">
        <x:v>first clinician assessment; imaging ordered; imaging interpretation; repeat visit; emergency escalation</x:v>
      </x:c>
      <x:c r="N345" s="19" t="str">
        <x:v>Spinal Epidural Abscess</x:v>
      </x:c>
      <x:c r="O345" s="19" t="str">
        <x:v>unknown</x:v>
      </x:c>
      <x:c r="P345" s="19" t="str">
        <x:v>unknown</x:v>
      </x:c>
      <x:c r="Q345" s="19" t="str">
        <x:v>unknown</x:v>
      </x:c>
      <x:c r="R345" s="19" t="str">
        <x:v>Add imaging-scope alerts: negative limited MRI should not close diagnosis when pain/red flags are anatomically discordant.</x:v>
      </x:c>
      <x:c r="S345" s="19" t="str">
        <x:v>high</x:v>
      </x:c>
      <x:c r="T345" s="19" t="str">
        <x:v>02_extracted_evidence/cases_or_examples.csv</x:v>
      </x:c>
      <x:c r="U345" s="19" t="str">
        <x:v>research_evidence_package_missed_signals_diagnostic_errors_2026-05-30.tar.gz::02_extracted_evidence/cases_or_examples.csv::B-004</x:v>
      </x:c>
    </x:row>
    <x:row r="346">
      <x:c r="A346" s="19" t="str">
        <x:v>B_missed</x:v>
      </x:c>
      <x:c r="B346" s="19" t="str">
        <x:v>research_evidence_package_missed_signals_diagnostic_errors_2026-05-30.tar.gz</x:v>
      </x:c>
      <x:c r="C346" s="19" t="str">
        <x:v>Research B / missed signals and diagnostic errors</x:v>
      </x:c>
      <x:c r="D346" s="19" t="str">
        <x:v>case</x:v>
      </x:c>
      <x:c r="E346" s="19" t="str">
        <x:v>B-005</x:v>
      </x:c>
      <x:c r="F346" s="19" t="str">
        <x:v>unknown</x:v>
      </x:c>
      <x:c r="G346" s="19" t="str"/>
      <x:c r="H346" s="19" t="str">
        <x:v>https://psnet.ahrq.gov/web-mm/renal-failure-due-benign-prostatic-hyperplasia</x:v>
      </x:c>
      <x:c r="I346" s="19" t="str">
        <x:v>United States</x:v>
      </x:c>
      <x:c r="J346" s="19" t="str">
        <x:v>primary care; specialist clinic; emergency department</x:v>
      </x:c>
      <x:c r="K346" s="19" t="str">
        <x:v>medical history; specialist review; labs ordered; follow-up; emergency escalation</x:v>
      </x:c>
      <x:c r="L346" s="19" t="str">
        <x:v>Obstructive uropathy / renal failure from BPH</x:v>
      </x:c>
      <x:c r="M346" s="19" t="str">
        <x:v>medical history; specialist review; labs ordered; follow-up; emergency escalation</x:v>
      </x:c>
      <x:c r="N346" s="19" t="str">
        <x:v>Renal Failure Due to Benign Prostatic Hyperplasia</x:v>
      </x:c>
      <x:c r="O346" s="19" t="str">
        <x:v>unknown</x:v>
      </x:c>
      <x:c r="P346" s="19" t="str">
        <x:v>unknown</x:v>
      </x:c>
      <x:c r="Q346" s="19" t="str">
        <x:v>unknown</x:v>
      </x:c>
      <x:c r="R346" s="19" t="str">
        <x:v>Create hard-stop follow-up for extreme post-void residual: creatinine, catheter plan, teach-back, and owner assignment.</x:v>
      </x:c>
      <x:c r="S346" s="19" t="str">
        <x:v>high</x:v>
      </x:c>
      <x:c r="T346" s="19" t="str">
        <x:v>02_extracted_evidence/cases_or_examples.csv</x:v>
      </x:c>
      <x:c r="U346" s="19" t="str">
        <x:v>research_evidence_package_missed_signals_diagnostic_errors_2026-05-30.tar.gz::02_extracted_evidence/cases_or_examples.csv::B-005</x:v>
      </x:c>
    </x:row>
    <x:row r="347">
      <x:c r="A347" s="19" t="str">
        <x:v>B_missed</x:v>
      </x:c>
      <x:c r="B347" s="19" t="str">
        <x:v>research_evidence_package_missed_signals_diagnostic_errors_2026-05-30.tar.gz</x:v>
      </x:c>
      <x:c r="C347" s="19" t="str">
        <x:v>Research B / missed signals and diagnostic errors</x:v>
      </x:c>
      <x:c r="D347" s="19" t="str">
        <x:v>case</x:v>
      </x:c>
      <x:c r="E347" s="19" t="str">
        <x:v>B-006</x:v>
      </x:c>
      <x:c r="F347" s="19" t="str">
        <x:v>unknown</x:v>
      </x:c>
      <x:c r="G347" s="19" t="str"/>
      <x:c r="H347" s="19" t="str">
        <x:v>https://psnet.ahrq.gov/web-mm/do-not-miss-sepsis-needles-viral-haystacks</x:v>
      </x:c>
      <x:c r="I347" s="19" t="str">
        <x:v>United States</x:v>
      </x:c>
      <x:c r="J347" s="19" t="str">
        <x:v>emergency department</x:v>
      </x:c>
      <x:c r="K347" s="19" t="str">
        <x:v>nurse triage; vitals; first clinician assessment; labs/imaging ordered; discharge; repeat visit</x:v>
      </x:c>
      <x:c r="L347" s="19" t="str">
        <x:v>Pediatric sepsis / bacterial pneumonia / empyema</x:v>
      </x:c>
      <x:c r="M347" s="19" t="str">
        <x:v>nurse triage; vitals; first clinician assessment; labs/imaging ordered; discharge; repeat visit</x:v>
      </x:c>
      <x:c r="N347" s="19" t="str">
        <x:v>Do Not Miss Sepsis: Needles in Viral Haystacks</x:v>
      </x:c>
      <x:c r="O347" s="19" t="str">
        <x:v>unknown</x:v>
      </x:c>
      <x:c r="P347" s="19" t="str">
        <x:v>unknown</x:v>
      </x:c>
      <x:c r="Q347" s="19" t="str">
        <x:v>unknown</x:v>
      </x:c>
      <x:c r="R347" s="19" t="str">
        <x:v>Implement pediatric repeat-visit sepsis detector combining vitals, respiratory symptoms, labs, and recent discharge history.</x:v>
      </x:c>
      <x:c r="S347" s="19" t="str">
        <x:v>high</x:v>
      </x:c>
      <x:c r="T347" s="19" t="str">
        <x:v>02_extracted_evidence/cases_or_examples.csv</x:v>
      </x:c>
      <x:c r="U347" s="19" t="str">
        <x:v>research_evidence_package_missed_signals_diagnostic_errors_2026-05-30.tar.gz::02_extracted_evidence/cases_or_examples.csv::B-006</x:v>
      </x:c>
    </x:row>
    <x:row r="348">
      <x:c r="A348" s="19" t="str">
        <x:v>B_missed</x:v>
      </x:c>
      <x:c r="B348" s="19" t="str">
        <x:v>research_evidence_package_missed_signals_diagnostic_errors_2026-05-30.tar.gz</x:v>
      </x:c>
      <x:c r="C348" s="19" t="str">
        <x:v>Research B / missed signals and diagnostic errors</x:v>
      </x:c>
      <x:c r="D348" s="19" t="str">
        <x:v>case</x:v>
      </x:c>
      <x:c r="E348" s="19" t="str">
        <x:v>B-007</x:v>
      </x:c>
      <x:c r="F348" s="19" t="str">
        <x:v>unknown</x:v>
      </x:c>
      <x:c r="G348" s="19" t="str"/>
      <x:c r="H348" s="19" t="str">
        <x:v>https://psnet.ahrq.gov/web-mm/missing-ecg-and-missed-diagnosis-lead-dangerous-delay</x:v>
      </x:c>
      <x:c r="I348" s="19" t="str">
        <x:v>United States</x:v>
      </x:c>
      <x:c r="J348" s="19" t="str">
        <x:v>emergency department; inpatient ward</x:v>
      </x:c>
      <x:c r="K348" s="19" t="str">
        <x:v>arrival; nurse triage; imaging/lab ordered; handoff; follow-up</x:v>
      </x:c>
      <x:c r="L348" s="19" t="str">
        <x:v>ST-elevation myocardial infarction (STEMI)</x:v>
      </x:c>
      <x:c r="M348" s="19" t="str">
        <x:v>arrival; nurse triage; imaging/lab ordered; handoff; follow-up</x:v>
      </x:c>
      <x:c r="N348" s="19" t="str">
        <x:v>Missing ECG and Missed Diagnosis Lead to Dangerous Delay</x:v>
      </x:c>
      <x:c r="O348" s="19" t="str">
        <x:v>unknown</x:v>
      </x:c>
      <x:c r="P348" s="19" t="str">
        <x:v>unknown</x:v>
      </x:c>
      <x:c r="Q348" s="19" t="str">
        <x:v>unknown</x:v>
      </x:c>
      <x:c r="R348" s="19" t="str">
        <x:v>Require EMS ECG ingestion/acknowledgment and serial chest-pain testing checklist when initial high-risk data exists.</x:v>
      </x:c>
      <x:c r="S348" s="19" t="str">
        <x:v>high</x:v>
      </x:c>
      <x:c r="T348" s="19" t="str">
        <x:v>02_extracted_evidence/cases_or_examples.csv</x:v>
      </x:c>
      <x:c r="U348" s="19" t="str">
        <x:v>research_evidence_package_missed_signals_diagnostic_errors_2026-05-30.tar.gz::02_extracted_evidence/cases_or_examples.csv::B-007</x:v>
      </x:c>
    </x:row>
    <x:row r="349">
      <x:c r="A349" s="19" t="str">
        <x:v>B_missed</x:v>
      </x:c>
      <x:c r="B349" s="19" t="str">
        <x:v>research_evidence_package_missed_signals_diagnostic_errors_2026-05-30.tar.gz</x:v>
      </x:c>
      <x:c r="C349" s="19" t="str">
        <x:v>Research B / missed signals and diagnostic errors</x:v>
      </x:c>
      <x:c r="D349" s="19" t="str">
        <x:v>case</x:v>
      </x:c>
      <x:c r="E349" s="19" t="str">
        <x:v>B-008</x:v>
      </x:c>
      <x:c r="F349" s="19" t="str">
        <x:v>unknown</x:v>
      </x:c>
      <x:c r="G349" s="19" t="str"/>
      <x:c r="H349" s="19" t="str">
        <x:v>https://psnet.ahrq.gov/web-mm/delay-appropriate-diagnosis-and-treatment-leading-death-pulmonary-embolism</x:v>
      </x:c>
      <x:c r="I349" s="19" t="str">
        <x:v>United States</x:v>
      </x:c>
      <x:c r="J349" s="19" t="str">
        <x:v>emergency department; inpatient ward; intensive care</x:v>
      </x:c>
      <x:c r="K349" s="19" t="str">
        <x:v>first clinician assessment; imaging interpretation; handoff; emergency escalation</x:v>
      </x:c>
      <x:c r="L349" s="19" t="str">
        <x:v>Pulmonary embolism</x:v>
      </x:c>
      <x:c r="M349" s="19" t="str">
        <x:v>first clinician assessment; imaging interpretation; handoff; emergency escalation</x:v>
      </x:c>
      <x:c r="N349" s="19" t="str">
        <x:v>Delay in Appropriate Diagnosis and Treatment Leading to Death from Pulmonary Embolism</x:v>
      </x:c>
      <x:c r="O349" s="19" t="str">
        <x:v>unknown</x:v>
      </x:c>
      <x:c r="P349" s="19" t="str">
        <x:v>unknown</x:v>
      </x:c>
      <x:c r="Q349" s="19" t="str">
        <x:v>unknown</x:v>
      </x:c>
      <x:c r="R349" s="19" t="str">
        <x:v>Add critical-result semantics: report should classify right-heart strain as escalation-required and track acknowledgment/action.</x:v>
      </x:c>
      <x:c r="S349" s="19" t="str">
        <x:v>high</x:v>
      </x:c>
      <x:c r="T349" s="19" t="str">
        <x:v>02_extracted_evidence/cases_or_examples.csv</x:v>
      </x:c>
      <x:c r="U349" s="19" t="str">
        <x:v>research_evidence_package_missed_signals_diagnostic_errors_2026-05-30.tar.gz::02_extracted_evidence/cases_or_examples.csv::B-008</x:v>
      </x:c>
    </x:row>
    <x:row r="350">
      <x:c r="A350" s="19" t="str">
        <x:v>B_missed</x:v>
      </x:c>
      <x:c r="B350" s="19" t="str">
        <x:v>research_evidence_package_missed_signals_diagnostic_errors_2026-05-30.tar.gz</x:v>
      </x:c>
      <x:c r="C350" s="19" t="str">
        <x:v>Research B / missed signals and diagnostic errors</x:v>
      </x:c>
      <x:c r="D350" s="19" t="str">
        <x:v>case</x:v>
      </x:c>
      <x:c r="E350" s="19" t="str">
        <x:v>B-009</x:v>
      </x:c>
      <x:c r="F350" s="19" t="str">
        <x:v>unknown</x:v>
      </x:c>
      <x:c r="G350" s="19" t="str"/>
      <x:c r="H350" s="19" t="str">
        <x:v>https://psnet.ahrq.gov/web-mm/delayed-diagnosis-mesenteric-ischemia</x:v>
      </x:c>
      <x:c r="I350" s="19" t="str">
        <x:v>United States</x:v>
      </x:c>
      <x:c r="J350" s="19" t="str">
        <x:v>primary care; emergency department; specialist clinic; inpatient ward</x:v>
      </x:c>
      <x:c r="K350" s="19" t="str">
        <x:v>medical history; labs/imaging ordered; referral; follow-up; repeat visit; specialist review</x:v>
      </x:c>
      <x:c r="L350" s="19" t="str">
        <x:v>Chronic mesenteric ischemia</x:v>
      </x:c>
      <x:c r="M350" s="19" t="str">
        <x:v>medical history; labs/imaging ordered; referral; follow-up; repeat visit; specialist review</x:v>
      </x:c>
      <x:c r="N350" s="19" t="str">
        <x:v>Delayed Diagnosis of Mesenteric Ischemia</x:v>
      </x:c>
      <x:c r="O350" s="19" t="str">
        <x:v>unknown</x:v>
      </x:c>
      <x:c r="P350" s="19" t="str">
        <x:v>unknown</x:v>
      </x:c>
      <x:c r="Q350" s="19" t="str">
        <x:v>unknown</x:v>
      </x:c>
      <x:c r="R350" s="19" t="str">
        <x:v>Build a longitudinal weight-loss + abdominal pain pattern recognizer and surface colleague concern as a tracked diagnostic signal.</x:v>
      </x:c>
      <x:c r="S350" s="19" t="str">
        <x:v>high</x:v>
      </x:c>
      <x:c r="T350" s="19" t="str">
        <x:v>02_extracted_evidence/cases_or_examples.csv</x:v>
      </x:c>
      <x:c r="U350" s="19" t="str">
        <x:v>research_evidence_package_missed_signals_diagnostic_errors_2026-05-30.tar.gz::02_extracted_evidence/cases_or_examples.csv::B-009</x:v>
      </x:c>
    </x:row>
    <x:row r="351">
      <x:c r="A351" s="19" t="str">
        <x:v>B_missed</x:v>
      </x:c>
      <x:c r="B351" s="19" t="str">
        <x:v>research_evidence_package_missed_signals_diagnostic_errors_2026-05-30.tar.gz</x:v>
      </x:c>
      <x:c r="C351" s="19" t="str">
        <x:v>Research B / missed signals and diagnostic errors</x:v>
      </x:c>
      <x:c r="D351" s="19" t="str">
        <x:v>case</x:v>
      </x:c>
      <x:c r="E351" s="19" t="str">
        <x:v>B-010</x:v>
      </x:c>
      <x:c r="F351" s="19" t="str">
        <x:v>unknown</x:v>
      </x:c>
      <x:c r="G351" s="19" t="str"/>
      <x:c r="H351" s="19" t="str">
        <x:v>https://psnet.ahrq.gov/web-mm/missed-appendicitis</x:v>
      </x:c>
      <x:c r="I351" s="19" t="str">
        <x:v>United States</x:v>
      </x:c>
      <x:c r="J351" s="19" t="str">
        <x:v>emergency department; primary care; inpatient ward</x:v>
      </x:c>
      <x:c r="K351" s="19" t="str">
        <x:v>first clinician assessment; physical exam; imaging ordered; discharge; repeat visit</x:v>
      </x:c>
      <x:c r="L351" s="19" t="str">
        <x:v>Appendicitis with perforation/abscess</x:v>
      </x:c>
      <x:c r="M351" s="19" t="str">
        <x:v>first clinician assessment; physical exam; imaging ordered; discharge; repeat visit</x:v>
      </x:c>
      <x:c r="N351" s="19" t="str">
        <x:v>Missed Appendicitis</x:v>
      </x:c>
      <x:c r="O351" s="19" t="str">
        <x:v>unknown</x:v>
      </x:c>
      <x:c r="P351" s="19" t="str">
        <x:v>unknown</x:v>
      </x:c>
      <x:c r="Q351" s="19" t="str">
        <x:v>unknown</x:v>
      </x:c>
      <x:c r="R351" s="19" t="str">
        <x:v>Use abdominal-pain discharge callbacks and return-triggered escalation for persistent or migrating pain.</x:v>
      </x:c>
      <x:c r="S351" s="19" t="str">
        <x:v>high</x:v>
      </x:c>
      <x:c r="T351" s="19" t="str">
        <x:v>02_extracted_evidence/cases_or_examples.csv</x:v>
      </x:c>
      <x:c r="U351" s="19" t="str">
        <x:v>research_evidence_package_missed_signals_diagnostic_errors_2026-05-30.tar.gz::02_extracted_evidence/cases_or_examples.csv::B-010</x:v>
      </x:c>
    </x:row>
    <x:row r="352">
      <x:c r="A352" s="19" t="str">
        <x:v>B_missed</x:v>
      </x:c>
      <x:c r="B352" s="19" t="str">
        <x:v>research_evidence_package_missed_signals_diagnostic_errors_2026-05-30.tar.gz</x:v>
      </x:c>
      <x:c r="C352" s="19" t="str">
        <x:v>Research B / missed signals and diagnostic errors</x:v>
      </x:c>
      <x:c r="D352" s="19" t="str">
        <x:v>case</x:v>
      </x:c>
      <x:c r="E352" s="19" t="str">
        <x:v>B-011</x:v>
      </x:c>
      <x:c r="F352" s="19" t="str">
        <x:v>unknown</x:v>
      </x:c>
      <x:c r="G352" s="19" t="str"/>
      <x:c r="H352" s="19" t="str">
        <x:v>https://psnet.ahrq.gov/web-mm/out-sight-out-mind-out-office-test-result-management</x:v>
      </x:c>
      <x:c r="I352" s="19" t="str">
        <x:v>United States</x:v>
      </x:c>
      <x:c r="J352" s="19" t="str">
        <x:v>specialist clinic; hospital outpatient</x:v>
      </x:c>
      <x:c r="K352" s="19" t="str">
        <x:v>labs ordered; lab interpretation; follow-up; specialist review</x:v>
      </x:c>
      <x:c r="L352" s="19" t="str">
        <x:v>Giant cell arteritis monitoring / relapse risk</x:v>
      </x:c>
      <x:c r="M352" s="19" t="str">
        <x:v>labs ordered; lab interpretation; follow-up; specialist review</x:v>
      </x:c>
      <x:c r="N352" s="19" t="str">
        <x:v>Out of Sight, Out of Mind: Out-of-Office Test Result Management</x:v>
      </x:c>
      <x:c r="O352" s="19" t="str">
        <x:v>unknown</x:v>
      </x:c>
      <x:c r="P352" s="19" t="str">
        <x:v>unknown</x:v>
      </x:c>
      <x:c r="Q352" s="19" t="str">
        <x:v>unknown</x:v>
      </x:c>
      <x:c r="R352" s="19" t="str">
        <x:v>Enforce patient-identifier confirmation, abnormal-result task persistence, and coverage acknowledgment until action completed.</x:v>
      </x:c>
      <x:c r="S352" s="19" t="str">
        <x:v>high</x:v>
      </x:c>
      <x:c r="T352" s="19" t="str">
        <x:v>02_extracted_evidence/cases_or_examples.csv</x:v>
      </x:c>
      <x:c r="U352" s="19" t="str">
        <x:v>research_evidence_package_missed_signals_diagnostic_errors_2026-05-30.tar.gz::02_extracted_evidence/cases_or_examples.csv::B-011</x:v>
      </x:c>
    </x:row>
    <x:row r="353">
      <x:c r="A353" s="19" t="str">
        <x:v>B_missed</x:v>
      </x:c>
      <x:c r="B353" s="19" t="str">
        <x:v>research_evidence_package_missed_signals_diagnostic_errors_2026-05-30.tar.gz</x:v>
      </x:c>
      <x:c r="C353" s="19" t="str">
        <x:v>Research B / missed signals and diagnostic errors</x:v>
      </x:c>
      <x:c r="D353" s="19" t="str">
        <x:v>case</x:v>
      </x:c>
      <x:c r="E353" s="19" t="str">
        <x:v>B-012</x:v>
      </x:c>
      <x:c r="F353" s="19" t="str">
        <x:v>unknown</x:v>
      </x:c>
      <x:c r="G353" s="19" t="str"/>
      <x:c r="H353" s="19" t="str">
        <x:v>https://psnet.ahrq.gov/web-mm/delayed-recognition-positive-blood-culture</x:v>
      </x:c>
      <x:c r="I353" s="19" t="str">
        <x:v>United States</x:v>
      </x:c>
      <x:c r="J353" s="19" t="str">
        <x:v>inpatient ward; discharge; follow-up</x:v>
      </x:c>
      <x:c r="K353" s="19" t="str">
        <x:v>lab interpretation; discharge; handoff; follow-up</x:v>
      </x:c>
      <x:c r="L353" s="19" t="str">
        <x:v>Listeria bacteremia</x:v>
      </x:c>
      <x:c r="M353" s="19" t="str">
        <x:v>lab interpretation; discharge; handoff; follow-up</x:v>
      </x:c>
      <x:c r="N353" s="19" t="str">
        <x:v>Delayed Recognition of a Positive Blood Culture</x:v>
      </x:c>
      <x:c r="O353" s="19" t="str">
        <x:v>unknown</x:v>
      </x:c>
      <x:c r="P353" s="19" t="str">
        <x:v>unknown</x:v>
      </x:c>
      <x:c r="Q353" s="19" t="str">
        <x:v>unknown</x:v>
      </x:c>
      <x:c r="R353" s="19" t="str">
        <x:v>Create post-discharge microbiology result queue with accountable owner, escalation, and contamination-vs-pathogen context.</x:v>
      </x:c>
      <x:c r="S353" s="19" t="str">
        <x:v>high</x:v>
      </x:c>
      <x:c r="T353" s="19" t="str">
        <x:v>02_extracted_evidence/cases_or_examples.csv</x:v>
      </x:c>
      <x:c r="U353" s="19" t="str">
        <x:v>research_evidence_package_missed_signals_diagnostic_errors_2026-05-30.tar.gz::02_extracted_evidence/cases_or_examples.csv::B-012</x:v>
      </x:c>
    </x:row>
    <x:row r="354">
      <x:c r="A354" s="19" t="str">
        <x:v>B_missed</x:v>
      </x:c>
      <x:c r="B354" s="19" t="str">
        <x:v>research_evidence_package_missed_signals_diagnostic_errors_2026-05-30.tar.gz</x:v>
      </x:c>
      <x:c r="C354" s="19" t="str">
        <x:v>Research B / missed signals and diagnostic errors</x:v>
      </x:c>
      <x:c r="D354" s="19" t="str">
        <x:v>case</x:v>
      </x:c>
      <x:c r="E354" s="19" t="str">
        <x:v>B-013</x:v>
      </x:c>
      <x:c r="F354" s="19" t="str">
        <x:v>unknown</x:v>
      </x:c>
      <x:c r="G354" s="19" t="str"/>
      <x:c r="H354" s="19" t="str">
        <x:v>https://psnet.ahrq.gov/web-mm/delayed-diagnosis-endocrinologic-emergencies</x:v>
      </x:c>
      <x:c r="I354" s="19" t="str">
        <x:v>United States</x:v>
      </x:c>
      <x:c r="J354" s="19" t="str">
        <x:v>emergency department; inpatient ward</x:v>
      </x:c>
      <x:c r="K354" s="19" t="str">
        <x:v>medical history; labs ordered; lab interpretation; inpatient reassessment</x:v>
      </x:c>
      <x:c r="L354" s="19" t="str">
        <x:v>Thyroid storm</x:v>
      </x:c>
      <x:c r="M354" s="19" t="str">
        <x:v>medical history; labs ordered; lab interpretation; inpatient reassessment</x:v>
      </x:c>
      <x:c r="N354" s="19" t="str">
        <x:v>Delayed Diagnosis of Endocrinologic Emergencies</x:v>
      </x:c>
      <x:c r="O354" s="19" t="str">
        <x:v>unknown</x:v>
      </x:c>
      <x:c r="P354" s="19" t="str">
        <x:v>unknown</x:v>
      </x:c>
      <x:c r="Q354" s="19" t="str">
        <x:v>unknown</x:v>
      </x:c>
      <x:c r="R354" s="19" t="str">
        <x:v>Connect medication nonadherence due to cost + vital-sign pattern + pending labs into endocrine emergency alerts.</x:v>
      </x:c>
      <x:c r="S354" s="19" t="str">
        <x:v>high</x:v>
      </x:c>
      <x:c r="T354" s="19" t="str">
        <x:v>02_extracted_evidence/cases_or_examples.csv</x:v>
      </x:c>
      <x:c r="U354" s="19" t="str">
        <x:v>research_evidence_package_missed_signals_diagnostic_errors_2026-05-30.tar.gz::02_extracted_evidence/cases_or_examples.csv::B-013</x:v>
      </x:c>
    </x:row>
    <x:row r="355">
      <x:c r="A355" s="19" t="str">
        <x:v>B_missed</x:v>
      </x:c>
      <x:c r="B355" s="19" t="str">
        <x:v>research_evidence_package_missed_signals_diagnostic_errors_2026-05-30.tar.gz</x:v>
      </x:c>
      <x:c r="C355" s="19" t="str">
        <x:v>Research B / missed signals and diagnostic errors</x:v>
      </x:c>
      <x:c r="D355" s="19" t="str">
        <x:v>case</x:v>
      </x:c>
      <x:c r="E355" s="19" t="str">
        <x:v>B-014</x:v>
      </x:c>
      <x:c r="F355" s="19" t="str">
        <x:v>unknown</x:v>
      </x:c>
      <x:c r="G355" s="19" t="str"/>
      <x:c r="H355" s="19" t="str">
        <x:v>https://psnet.ahrq.gov/web-mm/delayed-diagnosis-endocrinologic-emergencies</x:v>
      </x:c>
      <x:c r="I355" s="19" t="str">
        <x:v>United States</x:v>
      </x:c>
      <x:c r="J355" s="19" t="str">
        <x:v>emergency department; inpatient ward; repeat admissions</x:v>
      </x:c>
      <x:c r="K355" s="19" t="str">
        <x:v>repeat visit; medical history; lab interpretation; long-term monitoring</x:v>
      </x:c>
      <x:c r="L355" s="19" t="str">
        <x:v>Myxedema coma / severe hypothyroidism</x:v>
      </x:c>
      <x:c r="M355" s="19" t="str">
        <x:v>repeat visit; medical history; lab interpretation; long-term monitoring</x:v>
      </x:c>
      <x:c r="N355" s="19" t="str">
        <x:v>Delayed Diagnosis of Endocrinologic Emergencies</x:v>
      </x:c>
      <x:c r="O355" s="19" t="str">
        <x:v>unknown</x:v>
      </x:c>
      <x:c r="P355" s="19" t="str">
        <x:v>unknown</x:v>
      </x:c>
      <x:c r="Q355" s="19" t="str">
        <x:v>unknown</x:v>
      </x:c>
      <x:c r="R355" s="19" t="str">
        <x:v>Add repeat-admission diagnostic reset that surfaces unresolved abnormal labs and medication-risk links such as amiodarone-thyroid disease.</x:v>
      </x:c>
      <x:c r="S355" s="19" t="str">
        <x:v>high</x:v>
      </x:c>
      <x:c r="T355" s="19" t="str">
        <x:v>02_extracted_evidence/cases_or_examples.csv</x:v>
      </x:c>
      <x:c r="U355" s="19" t="str">
        <x:v>research_evidence_package_missed_signals_diagnostic_errors_2026-05-30.tar.gz::02_extracted_evidence/cases_or_examples.csv::B-014</x:v>
      </x:c>
    </x:row>
    <x:row r="356">
      <x:c r="A356" s="19" t="str">
        <x:v>B_missed</x:v>
      </x:c>
      <x:c r="B356" s="19" t="str">
        <x:v>research_evidence_package_missed_signals_diagnostic_errors_2026-05-30.tar.gz</x:v>
      </x:c>
      <x:c r="C356" s="19" t="str">
        <x:v>Research B / missed signals and diagnostic errors</x:v>
      </x:c>
      <x:c r="D356" s="19" t="str">
        <x:v>case</x:v>
      </x:c>
      <x:c r="E356" s="19" t="str">
        <x:v>B-015</x:v>
      </x:c>
      <x:c r="F356" s="19" t="str">
        <x:v>unknown</x:v>
      </x:c>
      <x:c r="G356" s="19" t="str"/>
      <x:c r="H356" s="19" t="str">
        <x:v>https://psnet.ahrq.gov/web-mm/myasthenia-crisis-after-delayed-diagnosis-medically-complex-patient</x:v>
      </x:c>
      <x:c r="I356" s="19" t="str">
        <x:v>United States</x:v>
      </x:c>
      <x:c r="J356" s="19" t="str">
        <x:v>emergency department; inpatient ward; specialist clinic; follow-up</x:v>
      </x:c>
      <x:c r="K356" s="19" t="str">
        <x:v>labs ordered; lab interpretation; discharge; specialist review; repeat visit</x:v>
      </x:c>
      <x:c r="L356" s="19" t="str">
        <x:v>Myasthenia gravis / myasthenic crisis</x:v>
      </x:c>
      <x:c r="M356" s="19" t="str">
        <x:v>labs ordered; lab interpretation; discharge; specialist review; repeat visit</x:v>
      </x:c>
      <x:c r="N356" s="19" t="str">
        <x:v>Myasthenic Crisis after Delayed Diagnosis in a Medically Complex Patient</x:v>
      </x:c>
      <x:c r="O356" s="19" t="str">
        <x:v>unknown</x:v>
      </x:c>
      <x:c r="P356" s="19" t="str">
        <x:v>unknown</x:v>
      </x:c>
      <x:c r="Q356" s="19" t="str">
        <x:v>unknown</x:v>
      </x:c>
      <x:c r="R356" s="19" t="str">
        <x:v>Flag discordance between finalized lab results and notes that still say 'pending'; require abnormal-result diagnosis reconciliation before discharge.</x:v>
      </x:c>
      <x:c r="S356" s="19" t="str">
        <x:v>high</x:v>
      </x:c>
      <x:c r="T356" s="19" t="str">
        <x:v>02_extracted_evidence/cases_or_examples.csv</x:v>
      </x:c>
      <x:c r="U356" s="19" t="str">
        <x:v>research_evidence_package_missed_signals_diagnostic_errors_2026-05-30.tar.gz::02_extracted_evidence/cases_or_examples.csv::B-015</x:v>
      </x:c>
    </x:row>
    <x:row r="357">
      <x:c r="A357" s="19" t="str">
        <x:v>B_missed</x:v>
      </x:c>
      <x:c r="B357" s="19" t="str">
        <x:v>research_evidence_package_missed_signals_diagnostic_errors_2026-05-30.tar.gz</x:v>
      </x:c>
      <x:c r="C357" s="19" t="str">
        <x:v>Research B / missed signals and diagnostic errors</x:v>
      </x:c>
      <x:c r="D357" s="19" t="str">
        <x:v>case</x:v>
      </x:c>
      <x:c r="E357" s="19" t="str">
        <x:v>B-016</x:v>
      </x:c>
      <x:c r="F357" s="19" t="str">
        <x:v>unknown</x:v>
      </x:c>
      <x:c r="G357" s="19" t="str"/>
      <x:c r="H357" s="19" t="str">
        <x:v>https://psnet.ahrq.gov/web-mm/missing-large-vessel-occlusion-stroke-patient-history-seizures</x:v>
      </x:c>
      <x:c r="I357" s="19" t="str">
        <x:v>United States</x:v>
      </x:c>
      <x:c r="J357" s="19" t="str">
        <x:v>emergency department; specialist review; inpatient ward</x:v>
      </x:c>
      <x:c r="K357" s="19" t="str">
        <x:v>nurse triage; first clinician assessment; imaging ordered; specialist review</x:v>
      </x:c>
      <x:c r="L357" s="19" t="str">
        <x:v>Large-vessel occlusion ischemic stroke</x:v>
      </x:c>
      <x:c r="M357" s="19" t="str">
        <x:v>nurse triage; first clinician assessment; imaging ordered; specialist review</x:v>
      </x:c>
      <x:c r="N357" s="19" t="str">
        <x:v>Missing a Large Vessel Occlusion Stroke in a Patient with a History of Seizures</x:v>
      </x:c>
      <x:c r="O357" s="19" t="str">
        <x:v>unknown</x:v>
      </x:c>
      <x:c r="P357" s="19" t="str">
        <x:v>unknown</x:v>
      </x:c>
      <x:c r="Q357" s="19" t="str">
        <x:v>unknown</x:v>
      </x:c>
      <x:c r="R357" s="19" t="str">
        <x:v>Stroke-first pathway: require LVO exclusion before seizure explanation when focal deficits persist or presentation is high-risk.</x:v>
      </x:c>
      <x:c r="S357" s="19" t="str">
        <x:v>high</x:v>
      </x:c>
      <x:c r="T357" s="19" t="str">
        <x:v>02_extracted_evidence/cases_or_examples.csv</x:v>
      </x:c>
      <x:c r="U357" s="19" t="str">
        <x:v>research_evidence_package_missed_signals_diagnostic_errors_2026-05-30.tar.gz::02_extracted_evidence/cases_or_examples.csv::B-016</x:v>
      </x:c>
    </x:row>
    <x:row r="358">
      <x:c r="A358" s="19" t="str">
        <x:v>B_missed</x:v>
      </x:c>
      <x:c r="B358" s="19" t="str">
        <x:v>research_evidence_package_missed_signals_diagnostic_errors_2026-05-30.tar.gz</x:v>
      </x:c>
      <x:c r="C358" s="19" t="str">
        <x:v>Research B / missed signals and diagnostic errors</x:v>
      </x:c>
      <x:c r="D358" s="19" t="str">
        <x:v>case</x:v>
      </x:c>
      <x:c r="E358" s="19" t="str">
        <x:v>B-017</x:v>
      </x:c>
      <x:c r="F358" s="19" t="str">
        <x:v>unknown</x:v>
      </x:c>
      <x:c r="G358" s="19" t="str"/>
      <x:c r="H358" s="19" t="str">
        <x:v>https://psnet.ahrq.gov/web-mm/critical-echocardiogram-result-lost-follow</x:v>
      </x:c>
      <x:c r="I358" s="19" t="str">
        <x:v>United States</x:v>
      </x:c>
      <x:c r="J358" s="19" t="str">
        <x:v>inpatient ward; discharge; skilled nursing facility; repeat admission</x:v>
      </x:c>
      <x:c r="K358" s="19" t="str">
        <x:v>imaging interpretation; discharge; follow-up; repeat visit</x:v>
      </x:c>
      <x:c r="L358" s="19" t="str">
        <x:v>Endocarditis / infected pacemaker wires</x:v>
      </x:c>
      <x:c r="M358" s="19" t="str">
        <x:v>imaging interpretation; discharge; follow-up; repeat visit</x:v>
      </x:c>
      <x:c r="N358" s="19" t="str">
        <x:v>Critical Echocardiogram Result Lost to Follow-up</x:v>
      </x:c>
      <x:c r="O358" s="19" t="str">
        <x:v>unknown</x:v>
      </x:c>
      <x:c r="P358" s="19" t="str">
        <x:v>unknown</x:v>
      </x:c>
      <x:c r="Q358" s="19" t="str">
        <x:v>unknown</x:v>
      </x:c>
      <x:c r="R358" s="19" t="str">
        <x:v>Discharge-pending-test dashboard with responsible owner, recipient, criticality, and closure proof.</x:v>
      </x:c>
      <x:c r="S358" s="19" t="str">
        <x:v>high</x:v>
      </x:c>
      <x:c r="T358" s="19" t="str">
        <x:v>02_extracted_evidence/cases_or_examples.csv</x:v>
      </x:c>
      <x:c r="U358" s="19" t="str">
        <x:v>research_evidence_package_missed_signals_diagnostic_errors_2026-05-30.tar.gz::02_extracted_evidence/cases_or_examples.csv::B-017</x:v>
      </x:c>
    </x:row>
    <x:row r="359">
      <x:c r="A359" s="19" t="str">
        <x:v>B_missed</x:v>
      </x:c>
      <x:c r="B359" s="19" t="str">
        <x:v>research_evidence_package_missed_signals_diagnostic_errors_2026-05-30.tar.gz</x:v>
      </x:c>
      <x:c r="C359" s="19" t="str">
        <x:v>Research B / missed signals and diagnostic errors</x:v>
      </x:c>
      <x:c r="D359" s="19" t="str">
        <x:v>case</x:v>
      </x:c>
      <x:c r="E359" s="19" t="str">
        <x:v>B-018</x:v>
      </x:c>
      <x:c r="F359" s="19" t="str">
        <x:v>S-005</x:v>
      </x:c>
      <x:c r="G359" s="19" t="str">
        <x:v>HSSIB radiology follow-up investigation</x:v>
      </x:c>
      <x:c r="H359" s="19" t="str">
        <x:v>https://www.hssib.org.uk/patient-safety-investigations/failures-in-communication-or-follow-up-of-unexpected-significant-radiological-findings/investigation-report/</x:v>
      </x:c>
      <x:c r="I359" s="19" t="str">
        <x:v>England / United Kingdom</x:v>
      </x:c>
      <x:c r="J359" s="19" t="str">
        <x:v>emergency department; hospital outpatient; referral</x:v>
      </x:c>
      <x:c r="K359" s="19" t="str">
        <x:v>imaging interpretation; discharge; referral; follow-up</x:v>
      </x:c>
      <x:c r="L359" s="19" t="str">
        <x:v>Possible lung cancer or other unexpected significant radiology finding</x:v>
      </x:c>
      <x:c r="M359" s="19" t="str">
        <x:v>imaging interpretation; discharge; referral; follow-up</x:v>
      </x:c>
      <x:c r="N359" s="19" t="str">
        <x:v>Failures in communication or follow-up of unexpected significant radiological findings</x:v>
      </x:c>
      <x:c r="O359" s="19" t="str">
        <x:v>unknown</x:v>
      </x:c>
      <x:c r="P359" s="19" t="str">
        <x:v>unknown</x:v>
      </x:c>
      <x:c r="Q359" s="19" t="str">
        <x:v>unknown</x:v>
      </x:c>
      <x:c r="R359" s="19" t="str">
        <x:v>Create radiology finding lifecycle: unexpected finding -&gt; recipient acknowledgment -&gt; patient notification -&gt; referral action -&gt; closure.</x:v>
      </x:c>
      <x:c r="S359" s="19" t="str">
        <x:v>high</x:v>
      </x:c>
      <x:c r="T359" s="19" t="str">
        <x:v>02_extracted_evidence/cases_or_examples.csv</x:v>
      </x:c>
      <x:c r="U359" s="19" t="str">
        <x:v>research_evidence_package_missed_signals_diagnostic_errors_2026-05-30.tar.gz::02_extracted_evidence/cases_or_examples.csv::B-018</x:v>
      </x:c>
    </x:row>
    <x:row r="360">
      <x:c r="A360" s="19" t="str">
        <x:v>B_missed</x:v>
      </x:c>
      <x:c r="B360" s="19" t="str">
        <x:v>research_evidence_package_missed_signals_diagnostic_errors_2026-05-30.tar.gz</x:v>
      </x:c>
      <x:c r="C360" s="19" t="str">
        <x:v>Research B / missed signals and diagnostic errors</x:v>
      </x:c>
      <x:c r="D360" s="19" t="str">
        <x:v>case</x:v>
      </x:c>
      <x:c r="E360" s="19" t="str">
        <x:v>B-019</x:v>
      </x:c>
      <x:c r="F360" s="19" t="str">
        <x:v>S-006</x:v>
      </x:c>
      <x:c r="G360" s="19" t="str">
        <x:v>Woman diagnosed with terminal cervical cancer after NHS missed smear tests</x:v>
      </x:c>
      <x:c r="H360" s="19" t="str">
        <x:v>https://www.independent.co.uk/news/health/cervical-cancer-screens-misdiagnosis-nhs-b2563898.html</x:v>
      </x:c>
      <x:c r="I360" s="19" t="str">
        <x:v>England / United Kingdom</x:v>
      </x:c>
      <x:c r="J360" s="19" t="str">
        <x:v>public health screening; specialist clinic; hospital outpatient</x:v>
      </x:c>
      <x:c r="K360" s="19" t="str">
        <x:v>public health screening; lab interpretation; diagnosis discussion; follow-up</x:v>
      </x:c>
      <x:c r="L360" s="19" t="str">
        <x:v>Cervical cancer</x:v>
      </x:c>
      <x:c r="M360" s="19" t="str">
        <x:v>public health screening; lab interpretation; diagnosis discussion; follow-up</x:v>
      </x:c>
      <x:c r="N360" s="19" t="str">
        <x:v>Woman diagnosed with terminal cervical cancer after NHS missed smear tests</x:v>
      </x:c>
      <x:c r="O360" s="19" t="str">
        <x:v>unknown</x:v>
      </x:c>
      <x:c r="P360" s="19" t="str">
        <x:v>unknown</x:v>
      </x:c>
      <x:c r="Q360" s="19" t="str">
        <x:v>unknown</x:v>
      </x:c>
      <x:c r="R360" s="19" t="str">
        <x:v>Screening safety layer: patient-visible abnormal-history timeline, second-review triggers, and symptom/result reconciliation.</x:v>
      </x:c>
      <x:c r="S360" s="19" t="str">
        <x:v>medium</x:v>
      </x:c>
      <x:c r="T360" s="19" t="str">
        <x:v>02_extracted_evidence/cases_or_examples.csv</x:v>
      </x:c>
      <x:c r="U360" s="19" t="str">
        <x:v>research_evidence_package_missed_signals_diagnostic_errors_2026-05-30.tar.gz::02_extracted_evidence/cases_or_examples.csv::B-019</x:v>
      </x:c>
    </x:row>
    <x:row r="361">
      <x:c r="A361" s="19" t="str">
        <x:v>B_missed</x:v>
      </x:c>
      <x:c r="B361" s="19" t="str">
        <x:v>research_evidence_package_missed_signals_diagnostic_errors_2026-05-30.tar.gz</x:v>
      </x:c>
      <x:c r="C361" s="19" t="str">
        <x:v>Research B / missed signals and diagnostic errors</x:v>
      </x:c>
      <x:c r="D361" s="19" t="str">
        <x:v>case</x:v>
      </x:c>
      <x:c r="E361" s="19" t="str">
        <x:v>B-020</x:v>
      </x:c>
      <x:c r="F361" s="19" t="str">
        <x:v>S-007</x:v>
      </x:c>
      <x:c r="G361" s="19" t="str">
        <x:v>Long covid and medical gaslighting</x:v>
      </x:c>
      <x:c r="H361" s="19" t="str">
        <x:v>https://www.sciencedirect.com/science/article/pii/S2667321522001299</x:v>
      </x:c>
      <x:c r="I361" s="19" t="str">
        <x:v>United States</x:v>
      </x:c>
      <x:c r="J361" s="19" t="str">
        <x:v>primary care; specialist clinic; telehealth</x:v>
      </x:c>
      <x:c r="K361" s="19" t="str">
        <x:v>first clinician assessment; medical history; diagnosis discussion; referral; long-term monitoring</x:v>
      </x:c>
      <x:c r="L361" s="19" t="str">
        <x:v>Long COVID / post-acute sequelae of COVID-19</x:v>
      </x:c>
      <x:c r="M361" s="19" t="str">
        <x:v>first clinician assessment; medical history; diagnosis discussion; referral; long-term monitoring</x:v>
      </x:c>
      <x:c r="N361" s="19" t="str">
        <x:v>Long covid and medical gaslighting: Dismissal, delayed diagnosis, and deferred treatment</x:v>
      </x:c>
      <x:c r="O361" s="19" t="str">
        <x:v>unknown</x:v>
      </x:c>
      <x:c r="P361" s="19" t="str">
        <x:v>unknown</x:v>
      </x:c>
      <x:c r="Q361" s="19" t="str">
        <x:v>unknown</x:v>
      </x:c>
      <x:c r="R361" s="19" t="str">
        <x:v>Capture patient-generated longitudinal symptom burden and prevent closure solely because routine tests are normal.</x:v>
      </x:c>
      <x:c r="S361" s="19" t="str">
        <x:v>medium</x:v>
      </x:c>
      <x:c r="T361" s="19" t="str">
        <x:v>02_extracted_evidence/cases_or_examples.csv</x:v>
      </x:c>
      <x:c r="U361" s="19" t="str">
        <x:v>research_evidence_package_missed_signals_diagnostic_errors_2026-05-30.tar.gz::02_extracted_evidence/cases_or_examples.csv::B-020</x:v>
      </x:c>
    </x:row>
    <x:row r="362">
      <x:c r="A362" s="19" t="str">
        <x:v>B_missed</x:v>
      </x:c>
      <x:c r="B362" s="19" t="str">
        <x:v>research_evidence_package_missed_signals_diagnostic_errors_2026-05-30.tar.gz</x:v>
      </x:c>
      <x:c r="C362" s="19" t="str">
        <x:v>Research B / missed signals and diagnostic errors</x:v>
      </x:c>
      <x:c r="D362" s="19" t="str">
        <x:v>case</x:v>
      </x:c>
      <x:c r="E362" s="19" t="str">
        <x:v>B-021</x:v>
      </x:c>
      <x:c r="F362" s="19" t="str">
        <x:v>S-008</x:v>
      </x:c>
      <x:c r="G362" s="19" t="str">
        <x:v>Dysautonomia International POTS Patient Survey</x:v>
      </x:c>
      <x:c r="H362" s="19" t="str">
        <x:v>https://www.dysautonomiainternational.org/page.php?ID=184</x:v>
      </x:c>
      <x:c r="I362" s="19" t="str">
        <x:v>International / mostly patient-reported</x:v>
      </x:c>
      <x:c r="J362" s="19" t="str">
        <x:v>primary care; emergency department; specialist clinic</x:v>
      </x:c>
      <x:c r="K362" s="19" t="str">
        <x:v>medical history; first clinician assessment; referral; specialist review; long-term monitoring</x:v>
      </x:c>
      <x:c r="L362" s="19" t="str">
        <x:v>Dysautonomia / POTS</x:v>
      </x:c>
      <x:c r="M362" s="19" t="str">
        <x:v>medical history; first clinician assessment; referral; specialist review; long-term monitoring</x:v>
      </x:c>
      <x:c r="N362" s="19" t="str">
        <x:v>Dysautonomia International POTS Patient Survey</x:v>
      </x:c>
      <x:c r="O362" s="19" t="str">
        <x:v>unknown</x:v>
      </x:c>
      <x:c r="P362" s="19" t="str">
        <x:v>unknown</x:v>
      </x:c>
      <x:c r="Q362" s="19" t="str">
        <x:v>unknown</x:v>
      </x:c>
      <x:c r="R362" s="19" t="str">
        <x:v>Add orthostatic-vital workflow and patient-triggered POTS screener for recurrent tachycardia/dizziness/fatigue complaints.</x:v>
      </x:c>
      <x:c r="S362" s="19" t="str">
        <x:v>medium</x:v>
      </x:c>
      <x:c r="T362" s="19" t="str">
        <x:v>02_extracted_evidence/cases_or_examples.csv</x:v>
      </x:c>
      <x:c r="U362" s="19" t="str">
        <x:v>research_evidence_package_missed_signals_diagnostic_errors_2026-05-30.tar.gz::02_extracted_evidence/cases_or_examples.csv::B-021</x:v>
      </x:c>
    </x:row>
    <x:row r="363">
      <x:c r="A363" s="19" t="str">
        <x:v>B_missed</x:v>
      </x:c>
      <x:c r="B363" s="19" t="str">
        <x:v>research_evidence_package_missed_signals_diagnostic_errors_2026-05-30.tar.gz</x:v>
      </x:c>
      <x:c r="C363" s="19" t="str">
        <x:v>Research B / missed signals and diagnostic errors</x:v>
      </x:c>
      <x:c r="D363" s="19" t="str">
        <x:v>case</x:v>
      </x:c>
      <x:c r="E363" s="19" t="str">
        <x:v>B-022</x:v>
      </x:c>
      <x:c r="F363" s="19" t="str">
        <x:v>S-009</x:v>
      </x:c>
      <x:c r="G363" s="19" t="str">
        <x:v>Devon woman with ME inquest report</x:v>
      </x:c>
      <x:c r="H363" s="19" t="str">
        <x:v>https://www.theguardian.com/society/article/2024/jul/22/devon-woman-with-me-asked-gp-to-help-her-get-enough-food-to-live-inquest-hears</x:v>
      </x:c>
      <x:c r="I363" s="19" t="str">
        <x:v>England / United Kingdom</x:v>
      </x:c>
      <x:c r="J363" s="19" t="str">
        <x:v>primary care; hospital inpatient; home/community visit</x:v>
      </x:c>
      <x:c r="K363" s="19" t="str">
        <x:v>before visit; first clinician assessment; inpatient assessment; discharge; long-term monitoring</x:v>
      </x:c>
      <x:c r="L363" s="19" t="str">
        <x:v>Severe ME/CFS with malnutrition/dehydration risk</x:v>
      </x:c>
      <x:c r="M363" s="19" t="str">
        <x:v>before visit; first clinician assessment; inpatient assessment; discharge; long-term monitoring</x:v>
      </x:c>
      <x:c r="N363" s="19" t="str">
        <x:v>Devon woman with ME asked GP to help her get enough food to live, inquest hears</x:v>
      </x:c>
      <x:c r="O363" s="19" t="str">
        <x:v>unknown</x:v>
      </x:c>
      <x:c r="P363" s="19" t="str">
        <x:v>unknown</x:v>
      </x:c>
      <x:c r="Q363" s="19" t="str">
        <x:v>unknown</x:v>
      </x:c>
      <x:c r="R363" s="19" t="str">
        <x:v>Track functional intake, hydration, and care capacity as clinical red flags, not just social notes.</x:v>
      </x:c>
      <x:c r="S363" s="19" t="str">
        <x:v>medium</x:v>
      </x:c>
      <x:c r="T363" s="19" t="str">
        <x:v>02_extracted_evidence/cases_or_examples.csv</x:v>
      </x:c>
      <x:c r="U363" s="19" t="str">
        <x:v>research_evidence_package_missed_signals_diagnostic_errors_2026-05-30.tar.gz::02_extracted_evidence/cases_or_examples.csv::B-022</x:v>
      </x:c>
    </x:row>
    <x:row r="364">
      <x:c r="A364" s="19" t="str">
        <x:v>B_missed</x:v>
      </x:c>
      <x:c r="B364" s="19" t="str">
        <x:v>research_evidence_package_missed_signals_diagnostic_errors_2026-05-30.tar.gz</x:v>
      </x:c>
      <x:c r="C364" s="19" t="str">
        <x:v>Research B / missed signals and diagnostic errors</x:v>
      </x:c>
      <x:c r="D364" s="19" t="str">
        <x:v>case</x:v>
      </x:c>
      <x:c r="E364" s="19" t="str">
        <x:v>B-023</x:v>
      </x:c>
      <x:c r="F364" s="19" t="str">
        <x:v>S-010</x:v>
      </x:c>
      <x:c r="G364" s="19" t="str">
        <x:v>Lupus personal essay</x:v>
      </x:c>
      <x:c r="H364" s="19" t="str">
        <x:v>https://www.popsugar.com/health/how-i-got-my-lupus-diagnosis-personal-essay-49345999</x:v>
      </x:c>
      <x:c r="I364" s="19" t="str">
        <x:v>United States</x:v>
      </x:c>
      <x:c r="J364" s="19" t="str">
        <x:v>primary care; specialist clinic</x:v>
      </x:c>
      <x:c r="K364" s="19" t="str">
        <x:v>medical history; labs ordered; lab interpretation; referral; patient self-advocacy</x:v>
      </x:c>
      <x:c r="L364" s="19" t="str">
        <x:v>Lupus / systemic autoimmune disease</x:v>
      </x:c>
      <x:c r="M364" s="19" t="str">
        <x:v>medical history; labs ordered; lab interpretation; referral; patient self-advocacy</x:v>
      </x:c>
      <x:c r="N364" s="19" t="str">
        <x:v>After Fighting to Receive a Lupus Diagnosis, I'm Making Sure Others Feel Seen</x:v>
      </x:c>
      <x:c r="O364" s="19" t="str">
        <x:v>unknown</x:v>
      </x:c>
      <x:c r="P364" s="19" t="str">
        <x:v>unknown</x:v>
      </x:c>
      <x:c r="Q364" s="19" t="str">
        <x:v>unknown</x:v>
      </x:c>
      <x:c r="R364" s="19" t="str">
        <x:v>Give patients structured way to upload symptom photos, family history, and flare timelines; flag repeated systemic symptoms even with normal basic labs.</x:v>
      </x:c>
      <x:c r="S364" s="19" t="str">
        <x:v>low</x:v>
      </x:c>
      <x:c r="T364" s="19" t="str">
        <x:v>02_extracted_evidence/cases_or_examples.csv</x:v>
      </x:c>
      <x:c r="U364" s="19" t="str">
        <x:v>research_evidence_package_missed_signals_diagnostic_errors_2026-05-30.tar.gz::02_extracted_evidence/cases_or_examples.csv::B-023</x:v>
      </x:c>
    </x:row>
    <x:row r="365">
      <x:c r="A365" s="19" t="str">
        <x:v>B_missed</x:v>
      </x:c>
      <x:c r="B365" s="19" t="str">
        <x:v>research_evidence_package_missed_signals_diagnostic_errors_2026-05-30.tar.gz</x:v>
      </x:c>
      <x:c r="C365" s="19" t="str">
        <x:v>Research B / missed signals and diagnostic errors</x:v>
      </x:c>
      <x:c r="D365" s="19" t="str">
        <x:v>case</x:v>
      </x:c>
      <x:c r="E365" s="19" t="str">
        <x:v>B-024</x:v>
      </x:c>
      <x:c r="F365" s="19" t="str">
        <x:v>S-011</x:v>
      </x:c>
      <x:c r="G365" s="19" t="str">
        <x:v>Claire's Story: Gender Bias &amp; the Long Road to Diagnosis</x:v>
      </x:c>
      <x:c r="H365" s="19" t="str">
        <x:v>https://www.autoimmuneinstitute.org/autoimmune_stories/claires-story-gender-bias-the-long-road-to-diagnosis/</x:v>
      </x:c>
      <x:c r="I365" s="19" t="str">
        <x:v>United States</x:v>
      </x:c>
      <x:c r="J365" s="19" t="str">
        <x:v>primary care; specialist clinic; inpatient ward; emergency department</x:v>
      </x:c>
      <x:c r="K365" s="19" t="str">
        <x:v>medical history; referral; specialist review; repeat visit; emergency escalation</x:v>
      </x:c>
      <x:c r="L365" s="19" t="str">
        <x:v>Crohn's disease / inflammatory bowel disease</x:v>
      </x:c>
      <x:c r="M365" s="19" t="str">
        <x:v>medical history; referral; specialist review; repeat visit; emergency escalation</x:v>
      </x:c>
      <x:c r="N365" s="19" t="str">
        <x:v>Claire's Story: Gender Bias &amp; the Long Road to Diagnosis</x:v>
      </x:c>
      <x:c r="O365" s="19" t="str">
        <x:v>unknown</x:v>
      </x:c>
      <x:c r="P365" s="19" t="str">
        <x:v>unknown</x:v>
      </x:c>
      <x:c r="Q365" s="19" t="str">
        <x:v>unknown</x:v>
      </x:c>
      <x:c r="R365" s="19" t="str">
        <x:v>Use red-flag pediatric/adolescent GI triggers: weight loss, fractures/malnutrition, recurrent admissions, infections, and persistent abdominal pain.</x:v>
      </x:c>
      <x:c r="S365" s="19" t="str">
        <x:v>low</x:v>
      </x:c>
      <x:c r="T365" s="19" t="str">
        <x:v>02_extracted_evidence/cases_or_examples.csv</x:v>
      </x:c>
      <x:c r="U365" s="19" t="str">
        <x:v>research_evidence_package_missed_signals_diagnostic_errors_2026-05-30.tar.gz::02_extracted_evidence/cases_or_examples.csv::B-024</x:v>
      </x:c>
    </x:row>
    <x:row r="366">
      <x:c r="A366" s="19" t="str">
        <x:v>B_missed</x:v>
      </x:c>
      <x:c r="B366" s="19" t="str">
        <x:v>research_evidence_package_missed_signals_diagnostic_errors_2026-05-30.tar.gz</x:v>
      </x:c>
      <x:c r="C366" s="19" t="str">
        <x:v>Research B / missed signals and diagnostic errors</x:v>
      </x:c>
      <x:c r="D366" s="19" t="str">
        <x:v>case</x:v>
      </x:c>
      <x:c r="E366" s="19" t="str">
        <x:v>B-025</x:v>
      </x:c>
      <x:c r="F366" s="19" t="str">
        <x:v>S-012</x:v>
      </x:c>
      <x:c r="G366" s="19" t="str">
        <x:v>Pathways to cervical cancer diagnosis among women in Accra, Ghana</x:v>
      </x:c>
      <x:c r="H366" s="19" t="str">
        <x:v>https://doaj.org/article/7ae6f62fe6174a639fc8a63fd8a97cfd</x:v>
      </x:c>
      <x:c r="I366" s="19" t="str">
        <x:v>Ghana</x:v>
      </x:c>
      <x:c r="J366" s="19" t="str">
        <x:v>primary care; hospital outpatient; public health screening; traditional/community care</x:v>
      </x:c>
      <x:c r="K366" s="19" t="str">
        <x:v>before visit; first clinician assessment; referral; labs/imaging ordered; repeat visit</x:v>
      </x:c>
      <x:c r="L366" s="19" t="str">
        <x:v>Cervical cancer</x:v>
      </x:c>
      <x:c r="M366" s="19" t="str">
        <x:v>before visit; first clinician assessment; referral; labs/imaging ordered; repeat visit</x:v>
      </x:c>
      <x:c r="N366" s="19" t="str">
        <x:v>Pathways to cervical cancer diagnosis among women in Accra, Ghana</x:v>
      </x:c>
      <x:c r="O366" s="19" t="str">
        <x:v>unknown</x:v>
      </x:c>
      <x:c r="P366" s="19" t="str">
        <x:v>unknown</x:v>
      </x:c>
      <x:c r="Q366" s="19" t="str">
        <x:v>unknown</x:v>
      </x:c>
      <x:c r="R366" s="19" t="str">
        <x:v>Design culturally aware referral prompts and community-to-clinic escalation tools for persistent gynecologic symptoms.</x:v>
      </x:c>
      <x:c r="S366" s="19" t="str">
        <x:v>medium</x:v>
      </x:c>
      <x:c r="T366" s="19" t="str">
        <x:v>02_extracted_evidence/cases_or_examples.csv</x:v>
      </x:c>
      <x:c r="U366" s="19" t="str">
        <x:v>research_evidence_package_missed_signals_diagnostic_errors_2026-05-30.tar.gz::02_extracted_evidence/cases_or_examples.csv::B-025</x:v>
      </x:c>
    </x:row>
    <x:row r="367">
      <x:c r="A367" s="19" t="str">
        <x:v>B_missed</x:v>
      </x:c>
      <x:c r="B367" s="19" t="str">
        <x:v>research_evidence_package_missed_signals_diagnostic_errors_2026-05-30.tar.gz</x:v>
      </x:c>
      <x:c r="C367" s="19" t="str">
        <x:v>Research B / missed signals and diagnostic errors</x:v>
      </x:c>
      <x:c r="D367" s="19" t="str">
        <x:v>case</x:v>
      </x:c>
      <x:c r="E367" s="19" t="str">
        <x:v>B-026</x:v>
      </x:c>
      <x:c r="F367" s="19" t="str">
        <x:v>S-013</x:v>
      </x:c>
      <x:c r="G367" s="19" t="str">
        <x:v>Barriers to prompt and effective malaria treatment among children in western Kenya</x:v>
      </x:c>
      <x:c r="H367" s="19" t="str">
        <x:v>https://journals.plos.org/globalpublichealth/article?id=10.1371/journal.pgph.0001532</x:v>
      </x:c>
      <x:c r="I367" s="19" t="str">
        <x:v>Kenya</x:v>
      </x:c>
      <x:c r="J367" s="19" t="str">
        <x:v>community health center; rural clinic; low-resource clinic</x:v>
      </x:c>
      <x:c r="K367" s="19" t="str">
        <x:v>before visit; nurse triage; labs ordered; lab interpretation; treatment decision</x:v>
      </x:c>
      <x:c r="L367" s="19" t="str">
        <x:v>Malaria / febrile illness in children</x:v>
      </x:c>
      <x:c r="M367" s="19" t="str">
        <x:v>before visit; nurse triage; labs ordered; lab interpretation; treatment decision</x:v>
      </x:c>
      <x:c r="N367" s="19" t="str">
        <x:v>Barriers to prompt and effective malaria treatment among children in western Kenya</x:v>
      </x:c>
      <x:c r="O367" s="19" t="str">
        <x:v>unknown</x:v>
      </x:c>
      <x:c r="P367" s="19" t="str">
        <x:v>unknown</x:v>
      </x:c>
      <x:c r="Q367" s="19" t="str">
        <x:v>unknown</x:v>
      </x:c>
      <x:c r="R367" s="19" t="str">
        <x:v>Expose stockout-aware decision support: if RDT unavailable, record reason, alternative testing/referral, and follow-up safety net.</x:v>
      </x:c>
      <x:c r="S367" s="19" t="str">
        <x:v>high</x:v>
      </x:c>
      <x:c r="T367" s="19" t="str">
        <x:v>02_extracted_evidence/cases_or_examples.csv</x:v>
      </x:c>
      <x:c r="U367" s="19" t="str">
        <x:v>research_evidence_package_missed_signals_diagnostic_errors_2026-05-30.tar.gz::02_extracted_evidence/cases_or_examples.csv::B-026</x:v>
      </x:c>
    </x:row>
    <x:row r="368">
      <x:c r="A368" s="19" t="str">
        <x:v>B_missed</x:v>
      </x:c>
      <x:c r="B368" s="19" t="str">
        <x:v>research_evidence_package_missed_signals_diagnostic_errors_2026-05-30.tar.gz</x:v>
      </x:c>
      <x:c r="C368" s="19" t="str">
        <x:v>Research B / missed signals and diagnostic errors</x:v>
      </x:c>
      <x:c r="D368" s="19" t="str">
        <x:v>case</x:v>
      </x:c>
      <x:c r="E368" s="19" t="str">
        <x:v>B-027</x:v>
      </x:c>
      <x:c r="F368" s="19" t="str">
        <x:v>S-014</x:v>
      </x:c>
      <x:c r="G368" s="19" t="str">
        <x:v>Malaria RDT stockouts and readiness in Mozambique</x:v>
      </x:c>
      <x:c r="H368" s="19" t="str">
        <x:v>https://link.springer.com/article/10.1186/1475-2875-13-295</x:v>
      </x:c>
      <x:c r="I368" s="19" t="str">
        <x:v>Mozambique</x:v>
      </x:c>
      <x:c r="J368" s="19" t="str">
        <x:v>low-resource clinic; public health screening; community health center</x:v>
      </x:c>
      <x:c r="K368" s="19" t="str">
        <x:v>labs ordered; lab interpretation; treatment decision; public health surveillance</x:v>
      </x:c>
      <x:c r="L368" s="19" t="str">
        <x:v>Malaria / febrile illness</x:v>
      </x:c>
      <x:c r="M368" s="19" t="str">
        <x:v>labs ordered; lab interpretation; treatment decision; public health surveillance</x:v>
      </x:c>
      <x:c r="N368" s="19" t="str">
        <x:v>Malaria rapid diagnostic test stockouts and health facility readiness in Mozambique</x:v>
      </x:c>
      <x:c r="O368" s="19" t="str">
        <x:v>unknown</x:v>
      </x:c>
      <x:c r="P368" s="19" t="str">
        <x:v>unknown</x:v>
      </x:c>
      <x:c r="Q368" s="19" t="str">
        <x:v>unknown</x:v>
      </x:c>
      <x:c r="R368" s="19" t="str">
        <x:v>Integrate diagnostic stock telemetry into triage and surveillance; trigger restock/escalation before depletion.</x:v>
      </x:c>
      <x:c r="S368" s="19" t="str">
        <x:v>high</x:v>
      </x:c>
      <x:c r="T368" s="19" t="str">
        <x:v>02_extracted_evidence/cases_or_examples.csv</x:v>
      </x:c>
      <x:c r="U368" s="19" t="str">
        <x:v>research_evidence_package_missed_signals_diagnostic_errors_2026-05-30.tar.gz::02_extracted_evidence/cases_or_examples.csv::B-027</x:v>
      </x:c>
    </x:row>
    <x:row r="369">
      <x:c r="A369" s="19" t="str">
        <x:v>B_missed</x:v>
      </x:c>
      <x:c r="B369" s="19" t="str">
        <x:v>research_evidence_package_missed_signals_diagnostic_errors_2026-05-30.tar.gz</x:v>
      </x:c>
      <x:c r="C369" s="19" t="str">
        <x:v>Research B / missed signals and diagnostic errors</x:v>
      </x:c>
      <x:c r="D369" s="19" t="str">
        <x:v>case</x:v>
      </x:c>
      <x:c r="E369" s="19" t="str">
        <x:v>B-028</x:v>
      </x:c>
      <x:c r="F369" s="19" t="str">
        <x:v>S-015</x:v>
      </x:c>
      <x:c r="G369" s="19" t="str">
        <x:v>COVID-19 and Tuberculosis Co-Occurrence and Missed Opportunities</x:v>
      </x:c>
      <x:c r="H369" s="19" t="str">
        <x:v>https://wwwnc.cdc.gov/eid/article/30/1/23-0924_article</x:v>
      </x:c>
      <x:c r="I369" s="19" t="str">
        <x:v>California, United States</x:v>
      </x:c>
      <x:c r="J369" s="19" t="str">
        <x:v>emergency department; urgent care; primary care; inpatient ward</x:v>
      </x:c>
      <x:c r="K369" s="19" t="str">
        <x:v>first clinician assessment; labs/imaging ordered; repeat visit; diagnosis discussion</x:v>
      </x:c>
      <x:c r="L369" s="19" t="str">
        <x:v>Tuberculosis with COVID-19 co-occurrence or differential</x:v>
      </x:c>
      <x:c r="M369" s="19" t="str">
        <x:v>first clinician assessment; labs/imaging ordered; repeat visit; diagnosis discussion</x:v>
      </x:c>
      <x:c r="N369" s="19" t="str">
        <x:v>COVID-19 and Tuberculosis Co-Occurrence and Missed Opportunities for Diagnosis, California, USA, 2020</x:v>
      </x:c>
      <x:c r="O369" s="19" t="str">
        <x:v>unknown</x:v>
      </x:c>
      <x:c r="P369" s="19" t="str">
        <x:v>unknown</x:v>
      </x:c>
      <x:c r="Q369" s="19" t="str">
        <x:v>unknown</x:v>
      </x:c>
      <x:c r="R369" s="19" t="str">
        <x:v>Differential guardrail for syndromic overlap: when COVID is positive but TB risk/imaging exists, require TB-test decision capture.</x:v>
      </x:c>
      <x:c r="S369" s="19" t="str">
        <x:v>high</x:v>
      </x:c>
      <x:c r="T369" s="19" t="str">
        <x:v>02_extracted_evidence/cases_or_examples.csv</x:v>
      </x:c>
      <x:c r="U369" s="19" t="str">
        <x:v>research_evidence_package_missed_signals_diagnostic_errors_2026-05-30.tar.gz::02_extracted_evidence/cases_or_examples.csv::B-028</x:v>
      </x:c>
    </x:row>
    <x:row r="370">
      <x:c r="A370" s="19" t="str">
        <x:v>B_missed</x:v>
      </x:c>
      <x:c r="B370" s="19" t="str">
        <x:v>research_evidence_package_missed_signals_diagnostic_errors_2026-05-30.tar.gz</x:v>
      </x:c>
      <x:c r="C370" s="19" t="str">
        <x:v>Research B / missed signals and diagnostic errors</x:v>
      </x:c>
      <x:c r="D370" s="19" t="str">
        <x:v>case</x:v>
      </x:c>
      <x:c r="E370" s="19" t="str">
        <x:v>B-029</x:v>
      </x:c>
      <x:c r="F370" s="19" t="str">
        <x:v>S-004</x:v>
      </x:c>
      <x:c r="G370" s="19" t="str">
        <x:v>Betsy Lehman Center diagnostic-error case studies</x:v>
      </x:c>
      <x:c r="H370" s="19" t="str">
        <x:v>https://betsylehmancenterma.gov/best-practices/diagnostic-error/case-studies</x:v>
      </x:c>
      <x:c r="I370" s="19" t="str">
        <x:v>United States</x:v>
      </x:c>
      <x:c r="J370" s="19" t="str">
        <x:v>emergency department; specialist clinic</x:v>
      </x:c>
      <x:c r="K370" s="19" t="str">
        <x:v>emergency escalation; imaging interpretation; referral; repeat visit</x:v>
      </x:c>
      <x:c r="L370" s="19" t="str">
        <x:v>Lymphangioleiomyomatosis (LAM)</x:v>
      </x:c>
      <x:c r="M370" s="19" t="str">
        <x:v>emergency escalation; imaging interpretation; referral; repeat visit</x:v>
      </x:c>
      <x:c r="N370" s="19" t="str">
        <x:v>A woman with recurrent pneumothoraces due to lymphangioleiomyomatosis attack</x:v>
      </x:c>
      <x:c r="O370" s="19" t="str">
        <x:v>unknown</x:v>
      </x:c>
      <x:c r="P370" s="19" t="str">
        <x:v>unknown</x:v>
      </x:c>
      <x:c r="Q370" s="19" t="str">
        <x:v>unknown</x:v>
      </x:c>
      <x:c r="R370" s="19" t="str">
        <x:v>Turn radiology pattern + demographic + recurrence into referral prompts for rare but serious diseases.</x:v>
      </x:c>
      <x:c r="S370" s="19" t="str">
        <x:v>medium</x:v>
      </x:c>
      <x:c r="T370" s="19" t="str">
        <x:v>02_extracted_evidence/cases_or_examples.csv</x:v>
      </x:c>
      <x:c r="U370" s="19" t="str">
        <x:v>research_evidence_package_missed_signals_diagnostic_errors_2026-05-30.tar.gz::02_extracted_evidence/cases_or_examples.csv::B-029</x:v>
      </x:c>
    </x:row>
    <x:row r="371">
      <x:c r="A371" s="19" t="str">
        <x:v>B_missed</x:v>
      </x:c>
      <x:c r="B371" s="19" t="str">
        <x:v>research_evidence_package_missed_signals_diagnostic_errors_2026-05-30.tar.gz</x:v>
      </x:c>
      <x:c r="C371" s="19" t="str">
        <x:v>Research B / missed signals and diagnostic errors</x:v>
      </x:c>
      <x:c r="D371" s="19" t="str">
        <x:v>case</x:v>
      </x:c>
      <x:c r="E371" s="19" t="str">
        <x:v>B-030</x:v>
      </x:c>
      <x:c r="F371" s="19" t="str">
        <x:v>S-004</x:v>
      </x:c>
      <x:c r="G371" s="19" t="str">
        <x:v>Betsy Lehman Center diagnostic-error case studies</x:v>
      </x:c>
      <x:c r="H371" s="19" t="str">
        <x:v>https://betsylehmancenterma.gov/best-practices/diagnostic-error/case-studies</x:v>
      </x:c>
      <x:c r="I371" s="19" t="str">
        <x:v>United States</x:v>
      </x:c>
      <x:c r="J371" s="19" t="str">
        <x:v>emergency department; urgent care</x:v>
      </x:c>
      <x:c r="K371" s="19" t="str">
        <x:v>arrival; first clinician assessment; physical exam; imaging ordered; repeat visit; emergency escalation</x:v>
      </x:c>
      <x:c r="L371" s="19" t="str">
        <x:v>Testicular torsion</x:v>
      </x:c>
      <x:c r="M371" s="19" t="str">
        <x:v>arrival; first clinician assessment; physical exam; imaging ordered; repeat visit; emergency escalation</x:v>
      </x:c>
      <x:c r="N371" s="19" t="str">
        <x:v>Multiple clinicians, multiple diagnoses and no timely ultrasound for testicular torsion</x:v>
      </x:c>
      <x:c r="O371" s="19" t="str">
        <x:v>unknown</x:v>
      </x:c>
      <x:c r="P371" s="19" t="str">
        <x:v>unknown</x:v>
      </x:c>
      <x:c r="Q371" s="19" t="str">
        <x:v>unknown</x:v>
      </x:c>
      <x:c r="R371" s="19" t="str">
        <x:v>For adolescent male abdominal pain/vomiting, force testicular symptom/exam prompt and urgent ultrasound timer.</x:v>
      </x:c>
      <x:c r="S371" s="19" t="str">
        <x:v>medium</x:v>
      </x:c>
      <x:c r="T371" s="19" t="str">
        <x:v>02_extracted_evidence/cases_or_examples.csv</x:v>
      </x:c>
      <x:c r="U371" s="19" t="str">
        <x:v>research_evidence_package_missed_signals_diagnostic_errors_2026-05-30.tar.gz::02_extracted_evidence/cases_or_examples.csv::B-030</x:v>
      </x:c>
    </x:row>
    <x:row r="372">
      <x:c r="A372" s="19" t="str">
        <x:v>B_missed</x:v>
      </x:c>
      <x:c r="B372" s="19" t="str">
        <x:v>research_evidence_package_missed_signals_diagnostic_errors_2026-05-30.tar.gz</x:v>
      </x:c>
      <x:c r="C372" s="19" t="str">
        <x:v>Research B / missed signals and diagnostic errors</x:v>
      </x:c>
      <x:c r="D372" s="19" t="str">
        <x:v>case</x:v>
      </x:c>
      <x:c r="E372" s="19" t="str">
        <x:v>B-031</x:v>
      </x:c>
      <x:c r="F372" s="19" t="str">
        <x:v>S-004</x:v>
      </x:c>
      <x:c r="G372" s="19" t="str">
        <x:v>Betsy Lehman Center diagnostic-error case studies</x:v>
      </x:c>
      <x:c r="H372" s="19" t="str">
        <x:v>https://betsylehmancenterma.gov/best-practices/diagnostic-error/case-studies</x:v>
      </x:c>
      <x:c r="I372" s="19" t="str">
        <x:v>United States</x:v>
      </x:c>
      <x:c r="J372" s="19" t="str">
        <x:v>primary care; emergency department; hospital outpatient</x:v>
      </x:c>
      <x:c r="K372" s="19" t="str">
        <x:v>before visit; medical history; referral; follow-up; emergency escalation</x:v>
      </x:c>
      <x:c r="L372" s="19" t="str">
        <x:v>Colon cancer</x:v>
      </x:c>
      <x:c r="M372" s="19" t="str">
        <x:v>before visit; medical history; referral; follow-up; emergency escalation</x:v>
      </x:c>
      <x:c r="N372" s="19" t="str">
        <x:v>Lack of insurance and primary care disrupts workup for suspected colon cancer</x:v>
      </x:c>
      <x:c r="O372" s="19" t="str">
        <x:v>unknown</x:v>
      </x:c>
      <x:c r="P372" s="19" t="str">
        <x:v>unknown</x:v>
      </x:c>
      <x:c r="Q372" s="19" t="str">
        <x:v>unknown</x:v>
      </x:c>
      <x:c r="R372" s="19" t="str">
        <x:v>Offer safety-net tracking for uninsured/high-risk patients with family-history red flags and incomplete workups.</x:v>
      </x:c>
      <x:c r="S372" s="19" t="str">
        <x:v>medium</x:v>
      </x:c>
      <x:c r="T372" s="19" t="str">
        <x:v>02_extracted_evidence/cases_or_examples.csv</x:v>
      </x:c>
      <x:c r="U372" s="19" t="str">
        <x:v>research_evidence_package_missed_signals_diagnostic_errors_2026-05-30.tar.gz::02_extracted_evidence/cases_or_examples.csv::B-031</x:v>
      </x:c>
    </x:row>
    <x:row r="373">
      <x:c r="A373" s="19" t="str">
        <x:v>B_missed</x:v>
      </x:c>
      <x:c r="B373" s="19" t="str">
        <x:v>research_evidence_package_missed_signals_diagnostic_errors_2026-05-30.tar.gz</x:v>
      </x:c>
      <x:c r="C373" s="19" t="str">
        <x:v>Research B / missed signals and diagnostic errors</x:v>
      </x:c>
      <x:c r="D373" s="19" t="str">
        <x:v>case</x:v>
      </x:c>
      <x:c r="E373" s="19" t="str">
        <x:v>B-032</x:v>
      </x:c>
      <x:c r="F373" s="19" t="str">
        <x:v>S-004</x:v>
      </x:c>
      <x:c r="G373" s="19" t="str">
        <x:v>Betsy Lehman Center diagnostic-error case studies</x:v>
      </x:c>
      <x:c r="H373" s="19" t="str">
        <x:v>https://betsylehmancenterma.gov/best-practices/diagnostic-error/case-studies</x:v>
      </x:c>
      <x:c r="I373" s="19" t="str">
        <x:v>United States</x:v>
      </x:c>
      <x:c r="J373" s="19" t="str">
        <x:v>urgent care; primary care; specialist clinic</x:v>
      </x:c>
      <x:c r="K373" s="19" t="str">
        <x:v>first clinician assessment; medical history; referral; specialist review; follow-up</x:v>
      </x:c>
      <x:c r="L373" s="19" t="str">
        <x:v>Myasthenia gravis</x:v>
      </x:c>
      <x:c r="M373" s="19" t="str">
        <x:v>first clinician assessment; medical history; referral; specialist review; follow-up</x:v>
      </x:c>
      <x:c r="N373" s="19" t="str">
        <x:v>Myasthenia gravis is diagnosed after a routine outpatient visit</x:v>
      </x:c>
      <x:c r="O373" s="19" t="str">
        <x:v>unknown</x:v>
      </x:c>
      <x:c r="P373" s="19" t="str">
        <x:v>unknown</x:v>
      </x:c>
      <x:c r="Q373" s="19" t="str">
        <x:v>unknown</x:v>
      </x:c>
      <x:c r="R373" s="19" t="str">
        <x:v>Use progressive nonspecific-symptom timelines plus neuromuscular checklists before closing as routine fatigue/weight loss.</x:v>
      </x:c>
      <x:c r="S373" s="19" t="str">
        <x:v>medium</x:v>
      </x:c>
      <x:c r="T373" s="19" t="str">
        <x:v>02_extracted_evidence/cases_or_examples.csv</x:v>
      </x:c>
      <x:c r="U373" s="19" t="str">
        <x:v>research_evidence_package_missed_signals_diagnostic_errors_2026-05-30.tar.gz::02_extracted_evidence/cases_or_examples.csv::B-032</x:v>
      </x:c>
    </x:row>
    <x:row r="374">
      <x:c r="A374" s="19" t="str">
        <x:v>B_missed</x:v>
      </x:c>
      <x:c r="B374" s="19" t="str">
        <x:v>research_evidence_package_missed_signals_diagnostic_errors_2026-05-30.tar.gz</x:v>
      </x:c>
      <x:c r="C374" s="19" t="str">
        <x:v>Research B / missed signals and diagnostic errors</x:v>
      </x:c>
      <x:c r="D374" s="19" t="str">
        <x:v>quote</x:v>
      </x:c>
      <x:c r="E374" s="19" t="str">
        <x:v>Q-001</x:v>
      </x:c>
      <x:c r="F374" s="19" t="str">
        <x:v>unknown</x:v>
      </x:c>
      <x:c r="G374" s="19" t="str"/>
      <x:c r="H374" s="19" t="str">
        <x:v>https://psnet.ahrq.gov/web-mm/endometriosis-common-and-commonly-missed-and-delayed-diagnosis</x:v>
      </x:c>
      <x:c r="I374" s="19" t="str">
        <x:v>United States</x:v>
      </x:c>
      <x:c r="J374" s="19" t="str">
        <x:v>primary care; specialist clinic; hospital outpatient</x:v>
      </x:c>
      <x:c r="K374" s="19" t="str">
        <x:v>unknown</x:v>
      </x:c>
      <x:c r="L374" s="19" t="str"/>
      <x:c r="M374" s="19" t="str">
        <x:v>unknown</x:v>
      </x:c>
      <x:c r="N374" s="19" t="str">
        <x:v>'she was crazy'</x:v>
      </x:c>
      <x:c r="O374" s="19" t="str">
        <x:v>Shows patient or clinician voice linked to a documented missed-signal pattern.</x:v>
      </x:c>
      <x:c r="P374" s="19" t="str"/>
      <x:c r="Q374" s="19" t="str"/>
      <x:c r="R374" s="19" t="str"/>
      <x:c r="S374" s="19" t="str">
        <x:v>high</x:v>
      </x:c>
      <x:c r="T374" s="19" t="str">
        <x:v>02_extracted_evidence/quotes.csv</x:v>
      </x:c>
      <x:c r="U374" s="19" t="str">
        <x:v>research_evidence_package_missed_signals_diagnostic_errors_2026-05-30.tar.gz::02_extracted_evidence/quotes.csv::Q-001</x:v>
      </x:c>
    </x:row>
    <x:row r="375">
      <x:c r="A375" s="19" t="str">
        <x:v>B_missed</x:v>
      </x:c>
      <x:c r="B375" s="19" t="str">
        <x:v>research_evidence_package_missed_signals_diagnostic_errors_2026-05-30.tar.gz</x:v>
      </x:c>
      <x:c r="C375" s="19" t="str">
        <x:v>Research B / missed signals and diagnostic errors</x:v>
      </x:c>
      <x:c r="D375" s="19" t="str">
        <x:v>quote</x:v>
      </x:c>
      <x:c r="E375" s="19" t="str">
        <x:v>Q-002</x:v>
      </x:c>
      <x:c r="F375" s="19" t="str">
        <x:v>unknown</x:v>
      </x:c>
      <x:c r="G375" s="19" t="str"/>
      <x:c r="H375" s="19" t="str">
        <x:v>https://psnet.ahrq.gov/web-mm/renal-failure-due-benign-prostatic-hyperplasia</x:v>
      </x:c>
      <x:c r="I375" s="19" t="str">
        <x:v>United States</x:v>
      </x:c>
      <x:c r="J375" s="19" t="str">
        <x:v>primary care; specialist clinic; emergency department</x:v>
      </x:c>
      <x:c r="K375" s="19" t="str">
        <x:v>unknown</x:v>
      </x:c>
      <x:c r="L375" s="19" t="str"/>
      <x:c r="M375" s="19" t="str">
        <x:v>unknown</x:v>
      </x:c>
      <x:c r="N375" s="19" t="str">
        <x:v>dismissive / berating</x:v>
      </x:c>
      <x:c r="O375" s="19" t="str">
        <x:v>Shows patient or clinician voice linked to a documented missed-signal pattern.</x:v>
      </x:c>
      <x:c r="P375" s="19" t="str"/>
      <x:c r="Q375" s="19" t="str"/>
      <x:c r="R375" s="19" t="str"/>
      <x:c r="S375" s="19" t="str">
        <x:v>high</x:v>
      </x:c>
      <x:c r="T375" s="19" t="str">
        <x:v>02_extracted_evidence/quotes.csv</x:v>
      </x:c>
      <x:c r="U375" s="19" t="str">
        <x:v>research_evidence_package_missed_signals_diagnostic_errors_2026-05-30.tar.gz::02_extracted_evidence/quotes.csv::Q-002</x:v>
      </x:c>
    </x:row>
    <x:row r="376">
      <x:c r="A376" s="19" t="str">
        <x:v>B_missed</x:v>
      </x:c>
      <x:c r="B376" s="19" t="str">
        <x:v>research_evidence_package_missed_signals_diagnostic_errors_2026-05-30.tar.gz</x:v>
      </x:c>
      <x:c r="C376" s="19" t="str">
        <x:v>Research B / missed signals and diagnostic errors</x:v>
      </x:c>
      <x:c r="D376" s="19" t="str">
        <x:v>quote</x:v>
      </x:c>
      <x:c r="E376" s="19" t="str">
        <x:v>Q-003</x:v>
      </x:c>
      <x:c r="F376" s="19" t="str">
        <x:v>S-006</x:v>
      </x:c>
      <x:c r="G376" s="19" t="str">
        <x:v>Woman diagnosed with terminal cervical cancer after NHS missed smear tests</x:v>
      </x:c>
      <x:c r="H376" s="19" t="str">
        <x:v>https://www.independent.co.uk/news/health/cervical-cancer-screens-misdiagnosis-nhs-b2563898.html</x:v>
      </x:c>
      <x:c r="I376" s="19" t="str">
        <x:v>England / United Kingdom</x:v>
      </x:c>
      <x:c r="J376" s="19" t="str">
        <x:v>public health screening; specialist clinic; hospital outpatient</x:v>
      </x:c>
      <x:c r="K376" s="19" t="str">
        <x:v>unknown</x:v>
      </x:c>
      <x:c r="L376" s="19" t="str"/>
      <x:c r="M376" s="19" t="str">
        <x:v>unknown</x:v>
      </x:c>
      <x:c r="N376" s="19" t="str">
        <x:v>'trust their instincts'</x:v>
      </x:c>
      <x:c r="O376" s="19" t="str">
        <x:v>Shows patient or clinician voice linked to a documented missed-signal pattern.</x:v>
      </x:c>
      <x:c r="P376" s="19" t="str"/>
      <x:c r="Q376" s="19" t="str"/>
      <x:c r="R376" s="19" t="str"/>
      <x:c r="S376" s="19" t="str">
        <x:v>medium</x:v>
      </x:c>
      <x:c r="T376" s="19" t="str">
        <x:v>02_extracted_evidence/quotes.csv</x:v>
      </x:c>
      <x:c r="U376" s="19" t="str">
        <x:v>research_evidence_package_missed_signals_diagnostic_errors_2026-05-30.tar.gz::02_extracted_evidence/quotes.csv::Q-003</x:v>
      </x:c>
    </x:row>
    <x:row r="377">
      <x:c r="A377" s="19" t="str">
        <x:v>B_missed</x:v>
      </x:c>
      <x:c r="B377" s="19" t="str">
        <x:v>research_evidence_package_missed_signals_diagnostic_errors_2026-05-30.tar.gz</x:v>
      </x:c>
      <x:c r="C377" s="19" t="str">
        <x:v>Research B / missed signals and diagnostic errors</x:v>
      </x:c>
      <x:c r="D377" s="19" t="str">
        <x:v>quote</x:v>
      </x:c>
      <x:c r="E377" s="19" t="str">
        <x:v>Q-004</x:v>
      </x:c>
      <x:c r="F377" s="19" t="str">
        <x:v>S-008</x:v>
      </x:c>
      <x:c r="G377" s="19" t="str">
        <x:v>Dysautonomia International POTS Patient Survey</x:v>
      </x:c>
      <x:c r="H377" s="19" t="str">
        <x:v>https://www.dysautonomiainternational.org/page.php?ID=184</x:v>
      </x:c>
      <x:c r="I377" s="19" t="str">
        <x:v>International / mostly patient-reported</x:v>
      </x:c>
      <x:c r="J377" s="19" t="str">
        <x:v>primary care; emergency department; specialist clinic</x:v>
      </x:c>
      <x:c r="K377" s="19" t="str">
        <x:v>unknown</x:v>
      </x:c>
      <x:c r="L377" s="19" t="str"/>
      <x:c r="M377" s="19" t="str">
        <x:v>unknown</x:v>
      </x:c>
      <x:c r="N377" s="19" t="str">
        <x:v>'all in your head'</x:v>
      </x:c>
      <x:c r="O377" s="19" t="str">
        <x:v>Shows patient or clinician voice linked to a documented missed-signal pattern.</x:v>
      </x:c>
      <x:c r="P377" s="19" t="str"/>
      <x:c r="Q377" s="19" t="str"/>
      <x:c r="R377" s="19" t="str"/>
      <x:c r="S377" s="19" t="str">
        <x:v>medium</x:v>
      </x:c>
      <x:c r="T377" s="19" t="str">
        <x:v>02_extracted_evidence/quotes.csv</x:v>
      </x:c>
      <x:c r="U377" s="19" t="str">
        <x:v>research_evidence_package_missed_signals_diagnostic_errors_2026-05-30.tar.gz::02_extracted_evidence/quotes.csv::Q-004</x:v>
      </x:c>
    </x:row>
    <x:row r="378">
      <x:c r="A378" s="19" t="str">
        <x:v>B_missed</x:v>
      </x:c>
      <x:c r="B378" s="19" t="str">
        <x:v>research_evidence_package_missed_signals_diagnostic_errors_2026-05-30.tar.gz</x:v>
      </x:c>
      <x:c r="C378" s="19" t="str">
        <x:v>Research B / missed signals and diagnostic errors</x:v>
      </x:c>
      <x:c r="D378" s="19" t="str">
        <x:v>quote</x:v>
      </x:c>
      <x:c r="E378" s="19" t="str">
        <x:v>Q-005</x:v>
      </x:c>
      <x:c r="F378" s="19" t="str">
        <x:v>S-009</x:v>
      </x:c>
      <x:c r="G378" s="19" t="str">
        <x:v>Devon woman with ME inquest report</x:v>
      </x:c>
      <x:c r="H378" s="19" t="str">
        <x:v>https://www.theguardian.com/society/article/2024/jul/22/devon-woman-with-me-asked-gp-to-help-her-get-enough-food-to-live-inquest-hears</x:v>
      </x:c>
      <x:c r="I378" s="19" t="str">
        <x:v>England / United Kingdom</x:v>
      </x:c>
      <x:c r="J378" s="19" t="str">
        <x:v>primary care; hospital inpatient; home/community visit</x:v>
      </x:c>
      <x:c r="K378" s="19" t="str">
        <x:v>unknown</x:v>
      </x:c>
      <x:c r="L378" s="19" t="str"/>
      <x:c r="M378" s="19" t="str">
        <x:v>unknown</x:v>
      </x:c>
      <x:c r="N378" s="19" t="str">
        <x:v>'get enough food to live'</x:v>
      </x:c>
      <x:c r="O378" s="19" t="str">
        <x:v>Shows patient or clinician voice linked to a documented missed-signal pattern.</x:v>
      </x:c>
      <x:c r="P378" s="19" t="str"/>
      <x:c r="Q378" s="19" t="str"/>
      <x:c r="R378" s="19" t="str"/>
      <x:c r="S378" s="19" t="str">
        <x:v>medium</x:v>
      </x:c>
      <x:c r="T378" s="19" t="str">
        <x:v>02_extracted_evidence/quotes.csv</x:v>
      </x:c>
      <x:c r="U378" s="19" t="str">
        <x:v>research_evidence_package_missed_signals_diagnostic_errors_2026-05-30.tar.gz::02_extracted_evidence/quotes.csv::Q-005</x:v>
      </x:c>
    </x:row>
    <x:row r="379">
      <x:c r="A379" s="19" t="str">
        <x:v>B_missed</x:v>
      </x:c>
      <x:c r="B379" s="19" t="str">
        <x:v>research_evidence_package_missed_signals_diagnostic_errors_2026-05-30.tar.gz</x:v>
      </x:c>
      <x:c r="C379" s="19" t="str">
        <x:v>Research B / missed signals and diagnostic errors</x:v>
      </x:c>
      <x:c r="D379" s="19" t="str">
        <x:v>quote</x:v>
      </x:c>
      <x:c r="E379" s="19" t="str">
        <x:v>Q-006</x:v>
      </x:c>
      <x:c r="F379" s="19" t="str">
        <x:v>S-009</x:v>
      </x:c>
      <x:c r="G379" s="19" t="str">
        <x:v>Devon woman with ME inquest report</x:v>
      </x:c>
      <x:c r="H379" s="19" t="str">
        <x:v>https://www.theguardian.com/society/article/2024/jul/22/devon-woman-with-me-asked-gp-to-help-her-get-enough-food-to-live-inquest-hears</x:v>
      </x:c>
      <x:c r="I379" s="19" t="str">
        <x:v>England / United Kingdom</x:v>
      </x:c>
      <x:c r="J379" s="19" t="str">
        <x:v>primary care; hospital inpatient; home/community visit</x:v>
      </x:c>
      <x:c r="K379" s="19" t="str">
        <x:v>unknown</x:v>
      </x:c>
      <x:c r="L379" s="19" t="str"/>
      <x:c r="M379" s="19" t="str">
        <x:v>unknown</x:v>
      </x:c>
      <x:c r="N379" s="19" t="str">
        <x:v>'We needed help. We all needed help.'</x:v>
      </x:c>
      <x:c r="O379" s="19" t="str">
        <x:v>Shows patient or clinician voice linked to a documented missed-signal pattern.</x:v>
      </x:c>
      <x:c r="P379" s="19" t="str"/>
      <x:c r="Q379" s="19" t="str"/>
      <x:c r="R379" s="19" t="str"/>
      <x:c r="S379" s="19" t="str">
        <x:v>medium</x:v>
      </x:c>
      <x:c r="T379" s="19" t="str">
        <x:v>02_extracted_evidence/quotes.csv</x:v>
      </x:c>
      <x:c r="U379" s="19" t="str">
        <x:v>research_evidence_package_missed_signals_diagnostic_errors_2026-05-30.tar.gz::02_extracted_evidence/quotes.csv::Q-006</x:v>
      </x:c>
    </x:row>
    <x:row r="380">
      <x:c r="A380" s="19" t="str">
        <x:v>B_missed</x:v>
      </x:c>
      <x:c r="B380" s="19" t="str">
        <x:v>research_evidence_package_missed_signals_diagnostic_errors_2026-05-30.tar.gz</x:v>
      </x:c>
      <x:c r="C380" s="19" t="str">
        <x:v>Research B / missed signals and diagnostic errors</x:v>
      </x:c>
      <x:c r="D380" s="19" t="str">
        <x:v>quote</x:v>
      </x:c>
      <x:c r="E380" s="19" t="str">
        <x:v>Q-007</x:v>
      </x:c>
      <x:c r="F380" s="19" t="str">
        <x:v>S-010</x:v>
      </x:c>
      <x:c r="G380" s="19" t="str">
        <x:v>Lupus personal essay</x:v>
      </x:c>
      <x:c r="H380" s="19" t="str">
        <x:v>https://www.popsugar.com/health/how-i-got-my-lupus-diagnosis-personal-essay-49345999</x:v>
      </x:c>
      <x:c r="I380" s="19" t="str">
        <x:v>United States</x:v>
      </x:c>
      <x:c r="J380" s="19" t="str">
        <x:v>primary care; specialist clinic</x:v>
      </x:c>
      <x:c r="K380" s="19" t="str">
        <x:v>unknown</x:v>
      </x:c>
      <x:c r="L380" s="19" t="str"/>
      <x:c r="M380" s="19" t="str">
        <x:v>unknown</x:v>
      </x:c>
      <x:c r="N380" s="19" t="str">
        <x:v>anxiety was used against her</x:v>
      </x:c>
      <x:c r="O380" s="19" t="str">
        <x:v>Shows patient or clinician voice linked to a documented missed-signal pattern.</x:v>
      </x:c>
      <x:c r="P380" s="19" t="str"/>
      <x:c r="Q380" s="19" t="str"/>
      <x:c r="R380" s="19" t="str"/>
      <x:c r="S380" s="19" t="str">
        <x:v>low</x:v>
      </x:c>
      <x:c r="T380" s="19" t="str">
        <x:v>02_extracted_evidence/quotes.csv</x:v>
      </x:c>
      <x:c r="U380" s="19" t="str">
        <x:v>research_evidence_package_missed_signals_diagnostic_errors_2026-05-30.tar.gz::02_extracted_evidence/quotes.csv::Q-007</x:v>
      </x:c>
    </x:row>
    <x:row r="381">
      <x:c r="A381" s="19" t="str">
        <x:v>B_missed</x:v>
      </x:c>
      <x:c r="B381" s="19" t="str">
        <x:v>research_evidence_package_missed_signals_diagnostic_errors_2026-05-30.tar.gz</x:v>
      </x:c>
      <x:c r="C381" s="19" t="str">
        <x:v>Research B / missed signals and diagnostic errors</x:v>
      </x:c>
      <x:c r="D381" s="19" t="str">
        <x:v>review_or_complaint</x:v>
      </x:c>
      <x:c r="E381" s="19" t="str">
        <x:v>R-001</x:v>
      </x:c>
      <x:c r="F381" s="19" t="str">
        <x:v>unknown</x:v>
      </x:c>
      <x:c r="G381" s="19" t="str"/>
      <x:c r="H381" s="19" t="str">
        <x:v>https://psnet.ahrq.gov/web-mm/endometriosis-common-and-commonly-missed-and-delayed-diagnosis</x:v>
      </x:c>
      <x:c r="I381" s="19" t="str">
        <x:v>United States</x:v>
      </x:c>
      <x:c r="J381" s="19" t="str">
        <x:v>primary care; specialist clinic; hospital outpatient</x:v>
      </x:c>
      <x:c r="K381" s="19" t="str">
        <x:v>medical history; first clinician assessment; referral; specialist review</x:v>
      </x:c>
      <x:c r="L381" s="19" t="str"/>
      <x:c r="M381" s="19" t="str">
        <x:v>unknown</x:v>
      </x:c>
      <x:c r="N381" s="19" t="str">
        <x:v>Source reports she felt made to feel 'she was crazy.'</x:v>
      </x:c>
      <x:c r="O381" s="19" t="str">
        <x:v>Severe cyclic pain normalized and split between GI and gynecology.</x:v>
      </x:c>
      <x:c r="P381" s="19" t="str">
        <x:v>unknown</x:v>
      </x:c>
      <x:c r="Q381" s="19" t="str"/>
      <x:c r="R381" s="19" t="str">
        <x:v>Create menstrual + GI timeline capture, severity thresholds, and cross-specialty prompts for persistent dysmenorrhea.</x:v>
      </x:c>
      <x:c r="S381" s="19" t="str">
        <x:v>high</x:v>
      </x:c>
      <x:c r="T381" s="19" t="str">
        <x:v>02_extracted_evidence/reviews_or_complaints.csv</x:v>
      </x:c>
      <x:c r="U381" s="19" t="str">
        <x:v>research_evidence_package_missed_signals_diagnostic_errors_2026-05-30.tar.gz::02_extracted_evidence/reviews_or_complaints.csv::R-001</x:v>
      </x:c>
    </x:row>
    <x:row r="382">
      <x:c r="A382" s="19" t="str">
        <x:v>B_missed</x:v>
      </x:c>
      <x:c r="B382" s="19" t="str">
        <x:v>research_evidence_package_missed_signals_diagnostic_errors_2026-05-30.tar.gz</x:v>
      </x:c>
      <x:c r="C382" s="19" t="str">
        <x:v>Research B / missed signals and diagnostic errors</x:v>
      </x:c>
      <x:c r="D382" s="19" t="str">
        <x:v>review_or_complaint</x:v>
      </x:c>
      <x:c r="E382" s="19" t="str">
        <x:v>R-002</x:v>
      </x:c>
      <x:c r="F382" s="19" t="str">
        <x:v>unknown</x:v>
      </x:c>
      <x:c r="G382" s="19" t="str"/>
      <x:c r="H382" s="19" t="str">
        <x:v>https://psnet.ahrq.gov/web-mm/paroxysmal-supraventricular-tachycardia-masquerading-panic-attacks</x:v>
      </x:c>
      <x:c r="I382" s="19" t="str">
        <x:v>United States</x:v>
      </x:c>
      <x:c r="J382" s="19" t="str">
        <x:v>emergency department; primary care; specialist clinic</x:v>
      </x:c>
      <x:c r="K382" s="19" t="str">
        <x:v>first clinician assessment; labs/imaging interpretation; referral; repeat visit</x:v>
      </x:c>
      <x:c r="L382" s="19" t="str"/>
      <x:c r="M382" s="19" t="str">
        <x:v>unknown</x:v>
      </x:c>
      <x:c r="N382" s="19" t="str">
        <x:v>Patient explicitly asked if it could be a heart rhythm problem.</x:v>
      </x:c>
      <x:c r="O382" s="19" t="str">
        <x:v>Intermittent conditions can disappear during testing and become labeled psychiatric.</x:v>
      </x:c>
      <x:c r="P382" s="19" t="str">
        <x:v>unknown</x:v>
      </x:c>
      <x:c r="Q382" s="19" t="str"/>
      <x:c r="R382" s="19" t="str">
        <x:v>Offer event-triggered monitoring workflows and a 'normal when asymptomatic' warning for episodic cardiopulmonary complaints.</x:v>
      </x:c>
      <x:c r="S382" s="19" t="str">
        <x:v>high</x:v>
      </x:c>
      <x:c r="T382" s="19" t="str">
        <x:v>02_extracted_evidence/reviews_or_complaints.csv</x:v>
      </x:c>
      <x:c r="U382" s="19" t="str">
        <x:v>research_evidence_package_missed_signals_diagnostic_errors_2026-05-30.tar.gz::02_extracted_evidence/reviews_or_complaints.csv::R-002</x:v>
      </x:c>
    </x:row>
    <x:row r="383">
      <x:c r="A383" s="19" t="str">
        <x:v>B_missed</x:v>
      </x:c>
      <x:c r="B383" s="19" t="str">
        <x:v>research_evidence_package_missed_signals_diagnostic_errors_2026-05-30.tar.gz</x:v>
      </x:c>
      <x:c r="C383" s="19" t="str">
        <x:v>Research B / missed signals and diagnostic errors</x:v>
      </x:c>
      <x:c r="D383" s="19" t="str">
        <x:v>review_or_complaint</x:v>
      </x:c>
      <x:c r="E383" s="19" t="str">
        <x:v>R-003</x:v>
      </x:c>
      <x:c r="F383" s="19" t="str">
        <x:v>unknown</x:v>
      </x:c>
      <x:c r="G383" s="19" t="str"/>
      <x:c r="H383" s="19" t="str">
        <x:v>https://psnet.ahrq.gov/web-mm/renal-failure-due-benign-prostatic-hyperplasia</x:v>
      </x:c>
      <x:c r="I383" s="19" t="str">
        <x:v>United States</x:v>
      </x:c>
      <x:c r="J383" s="19" t="str">
        <x:v>primary care; specialist clinic; emergency department</x:v>
      </x:c>
      <x:c r="K383" s="19" t="str">
        <x:v>medical history; specialist review; labs ordered; follow-up; emergency escalation</x:v>
      </x:c>
      <x:c r="L383" s="19" t="str"/>
      <x:c r="M383" s="19" t="str">
        <x:v>unknown</x:v>
      </x:c>
      <x:c r="N383" s="19" t="str">
        <x:v>Source says patient felt the urology clinician was dismissive and berating.</x:v>
      </x:c>
      <x:c r="O383" s="19" t="str">
        <x:v>A high-risk measurement lacked immediate safety action and patient education.</x:v>
      </x:c>
      <x:c r="P383" s="19" t="str">
        <x:v>unknown</x:v>
      </x:c>
      <x:c r="Q383" s="19" t="str"/>
      <x:c r="R383" s="19" t="str">
        <x:v>Create hard-stop follow-up for extreme post-void residual: creatinine, catheter plan, teach-back, and owner assignment.</x:v>
      </x:c>
      <x:c r="S383" s="19" t="str">
        <x:v>high</x:v>
      </x:c>
      <x:c r="T383" s="19" t="str">
        <x:v>02_extracted_evidence/reviews_or_complaints.csv</x:v>
      </x:c>
      <x:c r="U383" s="19" t="str">
        <x:v>research_evidence_package_missed_signals_diagnostic_errors_2026-05-30.tar.gz::02_extracted_evidence/reviews_or_complaints.csv::R-003</x:v>
      </x:c>
    </x:row>
    <x:row r="384">
      <x:c r="A384" s="19" t="str">
        <x:v>B_missed</x:v>
      </x:c>
      <x:c r="B384" s="19" t="str">
        <x:v>research_evidence_package_missed_signals_diagnostic_errors_2026-05-30.tar.gz</x:v>
      </x:c>
      <x:c r="C384" s="19" t="str">
        <x:v>Research B / missed signals and diagnostic errors</x:v>
      </x:c>
      <x:c r="D384" s="19" t="str">
        <x:v>review_or_complaint</x:v>
      </x:c>
      <x:c r="E384" s="19" t="str">
        <x:v>R-004</x:v>
      </x:c>
      <x:c r="F384" s="19" t="str">
        <x:v>S-006</x:v>
      </x:c>
      <x:c r="G384" s="19" t="str">
        <x:v>Woman diagnosed with terminal cervical cancer after NHS missed smear tests</x:v>
      </x:c>
      <x:c r="H384" s="19" t="str">
        <x:v>https://www.independent.co.uk/news/health/cervical-cancer-screens-misdiagnosis-nhs-b2563898.html</x:v>
      </x:c>
      <x:c r="I384" s="19" t="str">
        <x:v>England / United Kingdom</x:v>
      </x:c>
      <x:c r="J384" s="19" t="str">
        <x:v>public health screening; specialist clinic; hospital outpatient</x:v>
      </x:c>
      <x:c r="K384" s="19" t="str">
        <x:v>public health screening; lab interpretation; diagnosis discussion; follow-up</x:v>
      </x:c>
      <x:c r="L384" s="19" t="str"/>
      <x:c r="M384" s="19" t="str">
        <x:v>unknown</x:v>
      </x:c>
      <x:c r="N384" s="19" t="str">
        <x:v>Patient urged others to 'trust their instincts.'</x:v>
      </x:c>
      <x:c r="O384" s="19" t="str">
        <x:v>Screening result and symptom follow-up failed over years.</x:v>
      </x:c>
      <x:c r="P384" s="19" t="str">
        <x:v>unknown</x:v>
      </x:c>
      <x:c r="Q384" s="19" t="str"/>
      <x:c r="R384" s="19" t="str">
        <x:v>Screening safety layer: patient-visible abnormal-history timeline, second-review triggers, and symptom/result reconciliation.</x:v>
      </x:c>
      <x:c r="S384" s="19" t="str">
        <x:v>medium</x:v>
      </x:c>
      <x:c r="T384" s="19" t="str">
        <x:v>02_extracted_evidence/reviews_or_complaints.csv</x:v>
      </x:c>
      <x:c r="U384" s="19" t="str">
        <x:v>research_evidence_package_missed_signals_diagnostic_errors_2026-05-30.tar.gz::02_extracted_evidence/reviews_or_complaints.csv::R-004</x:v>
      </x:c>
    </x:row>
    <x:row r="385">
      <x:c r="A385" s="19" t="str">
        <x:v>B_missed</x:v>
      </x:c>
      <x:c r="B385" s="19" t="str">
        <x:v>research_evidence_package_missed_signals_diagnostic_errors_2026-05-30.tar.gz</x:v>
      </x:c>
      <x:c r="C385" s="19" t="str">
        <x:v>Research B / missed signals and diagnostic errors</x:v>
      </x:c>
      <x:c r="D385" s="19" t="str">
        <x:v>review_or_complaint</x:v>
      </x:c>
      <x:c r="E385" s="19" t="str">
        <x:v>R-005</x:v>
      </x:c>
      <x:c r="F385" s="19" t="str">
        <x:v>S-007</x:v>
      </x:c>
      <x:c r="G385" s="19" t="str">
        <x:v>Long covid and medical gaslighting</x:v>
      </x:c>
      <x:c r="H385" s="19" t="str">
        <x:v>https://www.sciencedirect.com/science/article/pii/S2667321522001299</x:v>
      </x:c>
      <x:c r="I385" s="19" t="str">
        <x:v>United States</x:v>
      </x:c>
      <x:c r="J385" s="19" t="str">
        <x:v>primary care; specialist clinic; telehealth</x:v>
      </x:c>
      <x:c r="K385" s="19" t="str">
        <x:v>first clinician assessment; medical history; diagnosis discussion; referral; long-term monitoring</x:v>
      </x:c>
      <x:c r="L385" s="19" t="str"/>
      <x:c r="M385" s="19" t="str">
        <x:v>unknown</x:v>
      </x:c>
      <x:c r="N385" s="19" t="str">
        <x:v>Patients described dismissal of their experience.</x:v>
      </x:c>
      <x:c r="O385" s="19" t="str">
        <x:v>New chronic condition lacked stable diagnostic workflow and validation.</x:v>
      </x:c>
      <x:c r="P385" s="19" t="str">
        <x:v>unknown</x:v>
      </x:c>
      <x:c r="Q385" s="19" t="str"/>
      <x:c r="R385" s="19" t="str">
        <x:v>Capture patient-generated longitudinal symptom burden and prevent closure solely because routine tests are normal.</x:v>
      </x:c>
      <x:c r="S385" s="19" t="str">
        <x:v>medium</x:v>
      </x:c>
      <x:c r="T385" s="19" t="str">
        <x:v>02_extracted_evidence/reviews_or_complaints.csv</x:v>
      </x:c>
      <x:c r="U385" s="19" t="str">
        <x:v>research_evidence_package_missed_signals_diagnostic_errors_2026-05-30.tar.gz::02_extracted_evidence/reviews_or_complaints.csv::R-005</x:v>
      </x:c>
    </x:row>
    <x:row r="386">
      <x:c r="A386" s="19" t="str">
        <x:v>B_missed</x:v>
      </x:c>
      <x:c r="B386" s="19" t="str">
        <x:v>research_evidence_package_missed_signals_diagnostic_errors_2026-05-30.tar.gz</x:v>
      </x:c>
      <x:c r="C386" s="19" t="str">
        <x:v>Research B / missed signals and diagnostic errors</x:v>
      </x:c>
      <x:c r="D386" s="19" t="str">
        <x:v>review_or_complaint</x:v>
      </x:c>
      <x:c r="E386" s="19" t="str">
        <x:v>R-006</x:v>
      </x:c>
      <x:c r="F386" s="19" t="str">
        <x:v>S-008</x:v>
      </x:c>
      <x:c r="G386" s="19" t="str">
        <x:v>Dysautonomia International POTS Patient Survey</x:v>
      </x:c>
      <x:c r="H386" s="19" t="str">
        <x:v>https://www.dysautonomiainternational.org/page.php?ID=184</x:v>
      </x:c>
      <x:c r="I386" s="19" t="str">
        <x:v>International / mostly patient-reported</x:v>
      </x:c>
      <x:c r="J386" s="19" t="str">
        <x:v>primary care; emergency department; specialist clinic</x:v>
      </x:c>
      <x:c r="K386" s="19" t="str">
        <x:v>medical history; first clinician assessment; referral; specialist review; long-term monitoring</x:v>
      </x:c>
      <x:c r="L386" s="19" t="str"/>
      <x:c r="M386" s="19" t="str">
        <x:v>unknown</x:v>
      </x:c>
      <x:c r="N386" s="19" t="str">
        <x:v>Survey reports many were told symptoms were 'all in your head.'</x:v>
      </x:c>
      <x:c r="O386" s="19" t="str">
        <x:v>A simple orthostatic pattern is missed when symptoms are separated by specialty.</x:v>
      </x:c>
      <x:c r="P386" s="19" t="str">
        <x:v>unknown</x:v>
      </x:c>
      <x:c r="Q386" s="19" t="str"/>
      <x:c r="R386" s="19" t="str">
        <x:v>Add orthostatic-vital workflow and patient-triggered POTS screener for recurrent tachycardia/dizziness/fatigue complaints.</x:v>
      </x:c>
      <x:c r="S386" s="19" t="str">
        <x:v>medium</x:v>
      </x:c>
      <x:c r="T386" s="19" t="str">
        <x:v>02_extracted_evidence/reviews_or_complaints.csv</x:v>
      </x:c>
      <x:c r="U386" s="19" t="str">
        <x:v>research_evidence_package_missed_signals_diagnostic_errors_2026-05-30.tar.gz::02_extracted_evidence/reviews_or_complaints.csv::R-006</x:v>
      </x:c>
    </x:row>
    <x:row r="387">
      <x:c r="A387" s="19" t="str">
        <x:v>B_missed</x:v>
      </x:c>
      <x:c r="B387" s="19" t="str">
        <x:v>research_evidence_package_missed_signals_diagnostic_errors_2026-05-30.tar.gz</x:v>
      </x:c>
      <x:c r="C387" s="19" t="str">
        <x:v>Research B / missed signals and diagnostic errors</x:v>
      </x:c>
      <x:c r="D387" s="19" t="str">
        <x:v>review_or_complaint</x:v>
      </x:c>
      <x:c r="E387" s="19" t="str">
        <x:v>R-007</x:v>
      </x:c>
      <x:c r="F387" s="19" t="str">
        <x:v>S-009</x:v>
      </x:c>
      <x:c r="G387" s="19" t="str">
        <x:v>Devon woman with ME inquest report</x:v>
      </x:c>
      <x:c r="H387" s="19" t="str">
        <x:v>https://www.theguardian.com/society/article/2024/jul/22/devon-woman-with-me-asked-gp-to-help-her-get-enough-food-to-live-inquest-hears</x:v>
      </x:c>
      <x:c r="I387" s="19" t="str">
        <x:v>England / United Kingdom</x:v>
      </x:c>
      <x:c r="J387" s="19" t="str">
        <x:v>primary care; hospital inpatient; home/community visit</x:v>
      </x:c>
      <x:c r="K387" s="19" t="str">
        <x:v>before visit; first clinician assessment; inpatient assessment; discharge; long-term monitoring</x:v>
      </x:c>
      <x:c r="L387" s="19" t="str"/>
      <x:c r="M387" s="19" t="str">
        <x:v>unknown</x:v>
      </x:c>
      <x:c r="N387" s="19" t="str">
        <x:v>She asked for help to 'get enough food to live.'</x:v>
      </x:c>
      <x:c r="O387" s="19" t="str">
        <x:v>Functional decline and care needs fell between medical and social-care boundaries.</x:v>
      </x:c>
      <x:c r="P387" s="19" t="str">
        <x:v>unknown</x:v>
      </x:c>
      <x:c r="Q387" s="19" t="str"/>
      <x:c r="R387" s="19" t="str">
        <x:v>Track functional intake, hydration, and care capacity as clinical red flags, not just social notes.</x:v>
      </x:c>
      <x:c r="S387" s="19" t="str">
        <x:v>medium</x:v>
      </x:c>
      <x:c r="T387" s="19" t="str">
        <x:v>02_extracted_evidence/reviews_or_complaints.csv</x:v>
      </x:c>
      <x:c r="U387" s="19" t="str">
        <x:v>research_evidence_package_missed_signals_diagnostic_errors_2026-05-30.tar.gz::02_extracted_evidence/reviews_or_complaints.csv::R-007</x:v>
      </x:c>
    </x:row>
    <x:row r="388">
      <x:c r="A388" s="19" t="str">
        <x:v>B_missed</x:v>
      </x:c>
      <x:c r="B388" s="19" t="str">
        <x:v>research_evidence_package_missed_signals_diagnostic_errors_2026-05-30.tar.gz</x:v>
      </x:c>
      <x:c r="C388" s="19" t="str">
        <x:v>Research B / missed signals and diagnostic errors</x:v>
      </x:c>
      <x:c r="D388" s="19" t="str">
        <x:v>review_or_complaint</x:v>
      </x:c>
      <x:c r="E388" s="19" t="str">
        <x:v>R-008</x:v>
      </x:c>
      <x:c r="F388" s="19" t="str">
        <x:v>S-010</x:v>
      </x:c>
      <x:c r="G388" s="19" t="str">
        <x:v>Lupus personal essay</x:v>
      </x:c>
      <x:c r="H388" s="19" t="str">
        <x:v>https://www.popsugar.com/health/how-i-got-my-lupus-diagnosis-personal-essay-49345999</x:v>
      </x:c>
      <x:c r="I388" s="19" t="str">
        <x:v>United States</x:v>
      </x:c>
      <x:c r="J388" s="19" t="str">
        <x:v>primary care; specialist clinic</x:v>
      </x:c>
      <x:c r="K388" s="19" t="str">
        <x:v>medical history; labs ordered; lab interpretation; referral; patient self-advocacy</x:v>
      </x:c>
      <x:c r="L388" s="19" t="str"/>
      <x:c r="M388" s="19" t="str">
        <x:v>unknown</x:v>
      </x:c>
      <x:c r="N388" s="19" t="str">
        <x:v>Patient wrote that anxiety was used against her.</x:v>
      </x:c>
      <x:c r="O388" s="19" t="str">
        <x:v>Basic normal labs blocked deeper autoimmune evaluation despite systemic pattern.</x:v>
      </x:c>
      <x:c r="P388" s="19" t="str">
        <x:v>unknown</x:v>
      </x:c>
      <x:c r="Q388" s="19" t="str"/>
      <x:c r="R388" s="19" t="str">
        <x:v>Give patients structured way to upload symptom photos, family history, and flare timelines; flag repeated systemic symptoms even with normal basic labs.</x:v>
      </x:c>
      <x:c r="S388" s="19" t="str">
        <x:v>low</x:v>
      </x:c>
      <x:c r="T388" s="19" t="str">
        <x:v>02_extracted_evidence/reviews_or_complaints.csv</x:v>
      </x:c>
      <x:c r="U388" s="19" t="str">
        <x:v>research_evidence_package_missed_signals_diagnostic_errors_2026-05-30.tar.gz::02_extracted_evidence/reviews_or_complaints.csv::R-008</x:v>
      </x:c>
    </x:row>
    <x:row r="389">
      <x:c r="A389" s="19" t="str">
        <x:v>B_missed</x:v>
      </x:c>
      <x:c r="B389" s="19" t="str">
        <x:v>research_evidence_package_missed_signals_diagnostic_errors_2026-05-30.tar.gz</x:v>
      </x:c>
      <x:c r="C389" s="19" t="str">
        <x:v>Research B / missed signals and diagnostic errors</x:v>
      </x:c>
      <x:c r="D389" s="19" t="str">
        <x:v>review_or_complaint</x:v>
      </x:c>
      <x:c r="E389" s="19" t="str">
        <x:v>R-009</x:v>
      </x:c>
      <x:c r="F389" s="19" t="str">
        <x:v>S-011</x:v>
      </x:c>
      <x:c r="G389" s="19" t="str">
        <x:v>Claire's Story: Gender Bias &amp; the Long Road to Diagnosis</x:v>
      </x:c>
      <x:c r="H389" s="19" t="str">
        <x:v>https://www.autoimmuneinstitute.org/autoimmune_stories/claires-story-gender-bias-the-long-road-to-diagnosis/</x:v>
      </x:c>
      <x:c r="I389" s="19" t="str">
        <x:v>United States</x:v>
      </x:c>
      <x:c r="J389" s="19" t="str">
        <x:v>primary care; specialist clinic; inpatient ward; emergency department</x:v>
      </x:c>
      <x:c r="K389" s="19" t="str">
        <x:v>medical history; referral; specialist review; repeat visit; emergency escalation</x:v>
      </x:c>
      <x:c r="L389" s="19" t="str"/>
      <x:c r="M389" s="19" t="str">
        <x:v>unknown</x:v>
      </x:c>
      <x:c r="N389" s="19" t="str">
        <x:v>Story attributes delay partly to being a young woman.</x:v>
      </x:c>
      <x:c r="O389" s="19" t="str">
        <x:v>Age/gender assumptions diverted GI disease into behavioral explanation.</x:v>
      </x:c>
      <x:c r="P389" s="19" t="str">
        <x:v>unknown</x:v>
      </x:c>
      <x:c r="Q389" s="19" t="str"/>
      <x:c r="R389" s="19" t="str">
        <x:v>Use red-flag pediatric/adolescent GI triggers: weight loss, fractures/malnutrition, recurrent admissions, infections, and persistent abdominal pain.</x:v>
      </x:c>
      <x:c r="S389" s="19" t="str">
        <x:v>low</x:v>
      </x:c>
      <x:c r="T389" s="19" t="str">
        <x:v>02_extracted_evidence/reviews_or_complaints.csv</x:v>
      </x:c>
      <x:c r="U389" s="19" t="str">
        <x:v>research_evidence_package_missed_signals_diagnostic_errors_2026-05-30.tar.gz::02_extracted_evidence/reviews_or_complaints.csv::R-009</x:v>
      </x:c>
    </x:row>
    <x:row r="390">
      <x:c r="A390" s="19" t="str">
        <x:v>B_missed</x:v>
      </x:c>
      <x:c r="B390" s="19" t="str">
        <x:v>research_evidence_package_missed_signals_diagnostic_errors_2026-05-30.tar.gz</x:v>
      </x:c>
      <x:c r="C390" s="19" t="str">
        <x:v>Research B / missed signals and diagnostic errors</x:v>
      </x:c>
      <x:c r="D390" s="19" t="str">
        <x:v>metric</x:v>
      </x:c>
      <x:c r="E390" s="19" t="str">
        <x:v>M-001</x:v>
      </x:c>
      <x:c r="F390" s="19" t="str">
        <x:v>derived_from_case_library</x:v>
      </x:c>
      <x:c r="G390" s="19" t="str"/>
      <x:c r="H390" s="19" t="str">
        <x:v>04_topic_outputs/tables/research_b_missed_signals_case_library.xlsx</x:v>
      </x:c>
      <x:c r="I390" s="19" t="str">
        <x:v>multiple</x:v>
      </x:c>
      <x:c r="J390" s="19" t="str">
        <x:v>multiple</x:v>
      </x:c>
      <x:c r="K390" s="19" t="str"/>
      <x:c r="L390" s="19" t="str">
        <x:v>symptom dismissed case count</x:v>
      </x:c>
      <x:c r="M390" s="19" t="str"/>
      <x:c r="N390" s="19" t="str">
        <x:v>symptom dismissed case count</x:v>
      </x:c>
      <x:c r="O390" s="19" t="str">
        <x:v>Patient's stated severity or persistence is treated as low-signal.</x:v>
      </x:c>
      <x:c r="P390" s="19" t="str"/>
      <x:c r="Q390" s="19" t="str">
        <x:v>unknown</x:v>
      </x:c>
      <x:c r="R390" s="19" t="str"/>
      <x:c r="S390" s="19" t="str">
        <x:v>derived synthesis</x:v>
      </x:c>
      <x:c r="T390" s="19" t="str">
        <x:v>02_extracted_evidence/statistics_or_metrics.csv</x:v>
      </x:c>
      <x:c r="U390" s="19" t="str">
        <x:v>research_evidence_package_missed_signals_diagnostic_errors_2026-05-30.tar.gz::02_extracted_evidence/statistics_or_metrics.csv::M-001</x:v>
      </x:c>
    </x:row>
    <x:row r="391">
      <x:c r="A391" s="19" t="str">
        <x:v>B_missed</x:v>
      </x:c>
      <x:c r="B391" s="19" t="str">
        <x:v>research_evidence_package_missed_signals_diagnostic_errors_2026-05-30.tar.gz</x:v>
      </x:c>
      <x:c r="C391" s="19" t="str">
        <x:v>Research B / missed signals and diagnostic errors</x:v>
      </x:c>
      <x:c r="D391" s="19" t="str">
        <x:v>metric</x:v>
      </x:c>
      <x:c r="E391" s="19" t="str">
        <x:v>M-002</x:v>
      </x:c>
      <x:c r="F391" s="19" t="str">
        <x:v>derived_from_case_library</x:v>
      </x:c>
      <x:c r="G391" s="19" t="str"/>
      <x:c r="H391" s="19" t="str">
        <x:v>04_topic_outputs/tables/research_b_missed_signals_case_library.xlsx</x:v>
      </x:c>
      <x:c r="I391" s="19" t="str">
        <x:v>multiple</x:v>
      </x:c>
      <x:c r="J391" s="19" t="str">
        <x:v>multiple</x:v>
      </x:c>
      <x:c r="K391" s="19" t="str"/>
      <x:c r="L391" s="19" t="str">
        <x:v>mental-health misattribution case count</x:v>
      </x:c>
      <x:c r="M391" s="19" t="str"/>
      <x:c r="N391" s="19" t="str">
        <x:v>mental-health misattribution case count</x:v>
      </x:c>
      <x:c r="O391" s="19" t="str">
        <x:v>Physical illness is explained as anxiety/panic/stress before high-risk alternatives are ruled out.</x:v>
      </x:c>
      <x:c r="P391" s="19" t="str"/>
      <x:c r="Q391" s="19" t="str">
        <x:v>unknown</x:v>
      </x:c>
      <x:c r="R391" s="19" t="str"/>
      <x:c r="S391" s="19" t="str">
        <x:v>derived synthesis</x:v>
      </x:c>
      <x:c r="T391" s="19" t="str">
        <x:v>02_extracted_evidence/statistics_or_metrics.csv</x:v>
      </x:c>
      <x:c r="U391" s="19" t="str">
        <x:v>research_evidence_package_missed_signals_diagnostic_errors_2026-05-30.tar.gz::02_extracted_evidence/statistics_or_metrics.csv::M-002</x:v>
      </x:c>
    </x:row>
    <x:row r="392">
      <x:c r="A392" s="19" t="str">
        <x:v>B_missed</x:v>
      </x:c>
      <x:c r="B392" s="19" t="str">
        <x:v>research_evidence_package_missed_signals_diagnostic_errors_2026-05-30.tar.gz</x:v>
      </x:c>
      <x:c r="C392" s="19" t="str">
        <x:v>Research B / missed signals and diagnostic errors</x:v>
      </x:c>
      <x:c r="D392" s="19" t="str">
        <x:v>metric</x:v>
      </x:c>
      <x:c r="E392" s="19" t="str">
        <x:v>M-003</x:v>
      </x:c>
      <x:c r="F392" s="19" t="str">
        <x:v>derived_from_case_library</x:v>
      </x:c>
      <x:c r="G392" s="19" t="str"/>
      <x:c r="H392" s="19" t="str">
        <x:v>04_topic_outputs/tables/research_b_missed_signals_case_library.xlsx</x:v>
      </x:c>
      <x:c r="I392" s="19" t="str">
        <x:v>multiple</x:v>
      </x:c>
      <x:c r="J392" s="19" t="str">
        <x:v>multiple</x:v>
      </x:c>
      <x:c r="K392" s="19" t="str"/>
      <x:c r="L392" s="19" t="str">
        <x:v>normal-test trap case count</x:v>
      </x:c>
      <x:c r="M392" s="19" t="str"/>
      <x:c r="N392" s="19" t="str">
        <x:v>normal-test trap case count</x:v>
      </x:c>
      <x:c r="O392" s="19" t="str">
        <x:v>A normal prior/current test is overgeneralized beyond its scope or timing.</x:v>
      </x:c>
      <x:c r="P392" s="19" t="str"/>
      <x:c r="Q392" s="19" t="str">
        <x:v>unknown</x:v>
      </x:c>
      <x:c r="R392" s="19" t="str"/>
      <x:c r="S392" s="19" t="str">
        <x:v>derived synthesis</x:v>
      </x:c>
      <x:c r="T392" s="19" t="str">
        <x:v>02_extracted_evidence/statistics_or_metrics.csv</x:v>
      </x:c>
      <x:c r="U392" s="19" t="str">
        <x:v>research_evidence_package_missed_signals_diagnostic_errors_2026-05-30.tar.gz::02_extracted_evidence/statistics_or_metrics.csv::M-003</x:v>
      </x:c>
    </x:row>
    <x:row r="393">
      <x:c r="A393" s="19" t="str">
        <x:v>B_missed</x:v>
      </x:c>
      <x:c r="B393" s="19" t="str">
        <x:v>research_evidence_package_missed_signals_diagnostic_errors_2026-05-30.tar.gz</x:v>
      </x:c>
      <x:c r="C393" s="19" t="str">
        <x:v>Research B / missed signals and diagnostic errors</x:v>
      </x:c>
      <x:c r="D393" s="19" t="str">
        <x:v>metric</x:v>
      </x:c>
      <x:c r="E393" s="19" t="str">
        <x:v>M-004</x:v>
      </x:c>
      <x:c r="F393" s="19" t="str">
        <x:v>derived_from_case_library</x:v>
      </x:c>
      <x:c r="G393" s="19" t="str"/>
      <x:c r="H393" s="19" t="str">
        <x:v>04_topic_outputs/tables/research_b_missed_signals_case_library.xlsx</x:v>
      </x:c>
      <x:c r="I393" s="19" t="str">
        <x:v>multiple</x:v>
      </x:c>
      <x:c r="J393" s="19" t="str">
        <x:v>multiple</x:v>
      </x:c>
      <x:c r="K393" s="19" t="str"/>
      <x:c r="L393" s="19" t="str">
        <x:v>abnormal result not followed up case count</x:v>
      </x:c>
      <x:c r="M393" s="19" t="str"/>
      <x:c r="N393" s="19" t="str">
        <x:v>abnormal result not followed up case count</x:v>
      </x:c>
      <x:c r="O393" s="19" t="str">
        <x:v>Abnormal lab/imaging/result exists but does not become action.</x:v>
      </x:c>
      <x:c r="P393" s="19" t="str"/>
      <x:c r="Q393" s="19" t="str">
        <x:v>unknown</x:v>
      </x:c>
      <x:c r="R393" s="19" t="str"/>
      <x:c r="S393" s="19" t="str">
        <x:v>derived synthesis</x:v>
      </x:c>
      <x:c r="T393" s="19" t="str">
        <x:v>02_extracted_evidence/statistics_or_metrics.csv</x:v>
      </x:c>
      <x:c r="U393" s="19" t="str">
        <x:v>research_evidence_package_missed_signals_diagnostic_errors_2026-05-30.tar.gz::02_extracted_evidence/statistics_or_metrics.csv::M-004</x:v>
      </x:c>
    </x:row>
    <x:row r="394">
      <x:c r="A394" s="19" t="str">
        <x:v>B_missed</x:v>
      </x:c>
      <x:c r="B394" s="19" t="str">
        <x:v>research_evidence_package_missed_signals_diagnostic_errors_2026-05-30.tar.gz</x:v>
      </x:c>
      <x:c r="C394" s="19" t="str">
        <x:v>Research B / missed signals and diagnostic errors</x:v>
      </x:c>
      <x:c r="D394" s="19" t="str">
        <x:v>metric</x:v>
      </x:c>
      <x:c r="E394" s="19" t="str">
        <x:v>M-005</x:v>
      </x:c>
      <x:c r="F394" s="19" t="str">
        <x:v>derived_from_case_library</x:v>
      </x:c>
      <x:c r="G394" s="19" t="str"/>
      <x:c r="H394" s="19" t="str">
        <x:v>04_topic_outputs/tables/research_b_missed_signals_case_library.xlsx</x:v>
      </x:c>
      <x:c r="I394" s="19" t="str">
        <x:v>multiple</x:v>
      </x:c>
      <x:c r="J394" s="19" t="str">
        <x:v>multiple</x:v>
      </x:c>
      <x:c r="K394" s="19" t="str"/>
      <x:c r="L394" s="19" t="str">
        <x:v>repeated visits ignored case count</x:v>
      </x:c>
      <x:c r="M394" s="19" t="str"/>
      <x:c r="N394" s="19" t="str">
        <x:v>repeated visits ignored case count</x:v>
      </x:c>
      <x:c r="O394" s="19" t="str">
        <x:v>Return visits are handled as new isolated encounters instead of escalation signals.</x:v>
      </x:c>
      <x:c r="P394" s="19" t="str"/>
      <x:c r="Q394" s="19" t="str">
        <x:v>unknown</x:v>
      </x:c>
      <x:c r="R394" s="19" t="str"/>
      <x:c r="S394" s="19" t="str">
        <x:v>derived synthesis</x:v>
      </x:c>
      <x:c r="T394" s="19" t="str">
        <x:v>02_extracted_evidence/statistics_or_metrics.csv</x:v>
      </x:c>
      <x:c r="U394" s="19" t="str">
        <x:v>research_evidence_package_missed_signals_diagnostic_errors_2026-05-30.tar.gz::02_extracted_evidence/statistics_or_metrics.csv::M-005</x:v>
      </x:c>
    </x:row>
    <x:row r="395">
      <x:c r="A395" s="19" t="str">
        <x:v>B_missed</x:v>
      </x:c>
      <x:c r="B395" s="19" t="str">
        <x:v>research_evidence_package_missed_signals_diagnostic_errors_2026-05-30.tar.gz</x:v>
      </x:c>
      <x:c r="C395" s="19" t="str">
        <x:v>Research B / missed signals and diagnostic errors</x:v>
      </x:c>
      <x:c r="D395" s="19" t="str">
        <x:v>metric</x:v>
      </x:c>
      <x:c r="E395" s="19" t="str">
        <x:v>M-006</x:v>
      </x:c>
      <x:c r="F395" s="19" t="str">
        <x:v>derived_from_case_library</x:v>
      </x:c>
      <x:c r="G395" s="19" t="str"/>
      <x:c r="H395" s="19" t="str">
        <x:v>04_topic_outputs/tables/research_b_missed_signals_case_library.xlsx</x:v>
      </x:c>
      <x:c r="I395" s="19" t="str">
        <x:v>multiple</x:v>
      </x:c>
      <x:c r="J395" s="19" t="str">
        <x:v>multiple</x:v>
      </x:c>
      <x:c r="K395" s="19" t="str"/>
      <x:c r="L395" s="19" t="str">
        <x:v>no one connected the dots case count</x:v>
      </x:c>
      <x:c r="M395" s="19" t="str"/>
      <x:c r="N395" s="19" t="str">
        <x:v>no one connected the dots case count</x:v>
      </x:c>
      <x:c r="O395" s="19" t="str">
        <x:v>Signals distributed across time, specialties, or notes never assemble into a pattern.</x:v>
      </x:c>
      <x:c r="P395" s="19" t="str"/>
      <x:c r="Q395" s="19" t="str">
        <x:v>unknown</x:v>
      </x:c>
      <x:c r="R395" s="19" t="str"/>
      <x:c r="S395" s="19" t="str">
        <x:v>derived synthesis</x:v>
      </x:c>
      <x:c r="T395" s="19" t="str">
        <x:v>02_extracted_evidence/statistics_or_metrics.csv</x:v>
      </x:c>
      <x:c r="U395" s="19" t="str">
        <x:v>research_evidence_package_missed_signals_diagnostic_errors_2026-05-30.tar.gz::02_extracted_evidence/statistics_or_metrics.csv::M-006</x:v>
      </x:c>
    </x:row>
    <x:row r="396">
      <x:c r="A396" s="19" t="str">
        <x:v>B_missed</x:v>
      </x:c>
      <x:c r="B396" s="19" t="str">
        <x:v>research_evidence_package_missed_signals_diagnostic_errors_2026-05-30.tar.gz</x:v>
      </x:c>
      <x:c r="C396" s="19" t="str">
        <x:v>Research B / missed signals and diagnostic errors</x:v>
      </x:c>
      <x:c r="D396" s="19" t="str">
        <x:v>metric</x:v>
      </x:c>
      <x:c r="E396" s="19" t="str">
        <x:v>M-007</x:v>
      </x:c>
      <x:c r="F396" s="19" t="str">
        <x:v>derived_from_case_library</x:v>
      </x:c>
      <x:c r="G396" s="19" t="str"/>
      <x:c r="H396" s="19" t="str">
        <x:v>04_topic_outputs/tables/research_b_missed_signals_case_library.xlsx</x:v>
      </x:c>
      <x:c r="I396" s="19" t="str">
        <x:v>multiple</x:v>
      </x:c>
      <x:c r="J396" s="19" t="str">
        <x:v>multiple</x:v>
      </x:c>
      <x:c r="K396" s="19" t="str"/>
      <x:c r="L396" s="19" t="str">
        <x:v>poor handoff case count</x:v>
      </x:c>
      <x:c r="M396" s="19" t="str"/>
      <x:c r="N396" s="19" t="str">
        <x:v>poor handoff case count</x:v>
      </x:c>
      <x:c r="O396" s="19" t="str">
        <x:v>Important data crosses team/shift/setting boundaries without reliable receipt/action.</x:v>
      </x:c>
      <x:c r="P396" s="19" t="str"/>
      <x:c r="Q396" s="19" t="str">
        <x:v>unknown</x:v>
      </x:c>
      <x:c r="R396" s="19" t="str"/>
      <x:c r="S396" s="19" t="str">
        <x:v>derived synthesis</x:v>
      </x:c>
      <x:c r="T396" s="19" t="str">
        <x:v>02_extracted_evidence/statistics_or_metrics.csv</x:v>
      </x:c>
      <x:c r="U396" s="19" t="str">
        <x:v>research_evidence_package_missed_signals_diagnostic_errors_2026-05-30.tar.gz::02_extracted_evidence/statistics_or_metrics.csv::M-007</x:v>
      </x:c>
    </x:row>
    <x:row r="397">
      <x:c r="A397" s="19" t="str">
        <x:v>B_missed</x:v>
      </x:c>
      <x:c r="B397" s="19" t="str">
        <x:v>research_evidence_package_missed_signals_diagnostic_errors_2026-05-30.tar.gz</x:v>
      </x:c>
      <x:c r="C397" s="19" t="str">
        <x:v>Research B / missed signals and diagnostic errors</x:v>
      </x:c>
      <x:c r="D397" s="19" t="str">
        <x:v>metric</x:v>
      </x:c>
      <x:c r="E397" s="19" t="str">
        <x:v>M-008</x:v>
      </x:c>
      <x:c r="F397" s="19" t="str">
        <x:v>derived_from_case_library</x:v>
      </x:c>
      <x:c r="G397" s="19" t="str"/>
      <x:c r="H397" s="19" t="str">
        <x:v>04_topic_outputs/tables/research_b_missed_signals_case_library.xlsx</x:v>
      </x:c>
      <x:c r="I397" s="19" t="str">
        <x:v>multiple</x:v>
      </x:c>
      <x:c r="J397" s="19" t="str">
        <x:v>multiple</x:v>
      </x:c>
      <x:c r="K397" s="19" t="str"/>
      <x:c r="L397" s="19" t="str">
        <x:v>no follow-up ownership case count</x:v>
      </x:c>
      <x:c r="M397" s="19" t="str"/>
      <x:c r="N397" s="19" t="str">
        <x:v>no follow-up ownership case count</x:v>
      </x:c>
      <x:c r="O397" s="19" t="str">
        <x:v>A necessary next step exists, but no named accountable person owns it.</x:v>
      </x:c>
      <x:c r="P397" s="19" t="str"/>
      <x:c r="Q397" s="19" t="str">
        <x:v>unknown</x:v>
      </x:c>
      <x:c r="R397" s="19" t="str"/>
      <x:c r="S397" s="19" t="str">
        <x:v>derived synthesis</x:v>
      </x:c>
      <x:c r="T397" s="19" t="str">
        <x:v>02_extracted_evidence/statistics_or_metrics.csv</x:v>
      </x:c>
      <x:c r="U397" s="19" t="str">
        <x:v>research_evidence_package_missed_signals_diagnostic_errors_2026-05-30.tar.gz::02_extracted_evidence/statistics_or_metrics.csv::M-008</x:v>
      </x:c>
    </x:row>
    <x:row r="398">
      <x:c r="A398" s="19" t="str">
        <x:v>B_missed</x:v>
      </x:c>
      <x:c r="B398" s="19" t="str">
        <x:v>research_evidence_package_missed_signals_diagnostic_errors_2026-05-30.tar.gz</x:v>
      </x:c>
      <x:c r="C398" s="19" t="str">
        <x:v>Research B / missed signals and diagnostic errors</x:v>
      </x:c>
      <x:c r="D398" s="19" t="str">
        <x:v>metric</x:v>
      </x:c>
      <x:c r="E398" s="19" t="str">
        <x:v>M-009</x:v>
      </x:c>
      <x:c r="F398" s="19" t="str">
        <x:v>derived_from_case_library</x:v>
      </x:c>
      <x:c r="G398" s="19" t="str"/>
      <x:c r="H398" s="19" t="str">
        <x:v>04_topic_outputs/tables/research_b_missed_signals_case_library.xlsx</x:v>
      </x:c>
      <x:c r="I398" s="19" t="str">
        <x:v>multiple</x:v>
      </x:c>
      <x:c r="J398" s="19" t="str">
        <x:v>multiple</x:v>
      </x:c>
      <x:c r="K398" s="19" t="str"/>
      <x:c r="L398" s="19" t="str">
        <x:v>referral delay case count</x:v>
      </x:c>
      <x:c r="M398" s="19" t="str"/>
      <x:c r="N398" s="19" t="str">
        <x:v>referral delay case count</x:v>
      </x:c>
      <x:c r="O398" s="19" t="str">
        <x:v>Patient needs another expertise/pathway but referral is late, absent, or not completed.</x:v>
      </x:c>
      <x:c r="P398" s="19" t="str"/>
      <x:c r="Q398" s="19" t="str">
        <x:v>unknown</x:v>
      </x:c>
      <x:c r="R398" s="19" t="str"/>
      <x:c r="S398" s="19" t="str">
        <x:v>derived synthesis</x:v>
      </x:c>
      <x:c r="T398" s="19" t="str">
        <x:v>02_extracted_evidence/statistics_or_metrics.csv</x:v>
      </x:c>
      <x:c r="U398" s="19" t="str">
        <x:v>research_evidence_package_missed_signals_diagnostic_errors_2026-05-30.tar.gz::02_extracted_evidence/statistics_or_metrics.csv::M-009</x:v>
      </x:c>
    </x:row>
    <x:row r="399">
      <x:c r="A399" s="19" t="str">
        <x:v>B_missed</x:v>
      </x:c>
      <x:c r="B399" s="19" t="str">
        <x:v>research_evidence_package_missed_signals_diagnostic_errors_2026-05-30.tar.gz</x:v>
      </x:c>
      <x:c r="C399" s="19" t="str">
        <x:v>Research B / missed signals and diagnostic errors</x:v>
      </x:c>
      <x:c r="D399" s="19" t="str">
        <x:v>metric</x:v>
      </x:c>
      <x:c r="E399" s="19" t="str">
        <x:v>M-010</x:v>
      </x:c>
      <x:c r="F399" s="19" t="str">
        <x:v>derived_from_case_library</x:v>
      </x:c>
      <x:c r="G399" s="19" t="str"/>
      <x:c r="H399" s="19" t="str">
        <x:v>04_topic_outputs/tables/research_b_missed_signals_case_library.xlsx</x:v>
      </x:c>
      <x:c r="I399" s="19" t="str">
        <x:v>multiple</x:v>
      </x:c>
      <x:c r="J399" s="19" t="str">
        <x:v>multiple</x:v>
      </x:c>
      <x:c r="K399" s="19" t="str"/>
      <x:c r="L399" s="19" t="str">
        <x:v>red flag missed case count</x:v>
      </x:c>
      <x:c r="M399" s="19" t="str"/>
      <x:c r="N399" s="19" t="str">
        <x:v>red flag missed case count</x:v>
      </x:c>
      <x:c r="O399" s="19" t="str">
        <x:v>Time-sensitive warning sign is present but not elevated.</x:v>
      </x:c>
      <x:c r="P399" s="19" t="str"/>
      <x:c r="Q399" s="19" t="str">
        <x:v>unknown</x:v>
      </x:c>
      <x:c r="R399" s="19" t="str"/>
      <x:c r="S399" s="19" t="str">
        <x:v>derived synthesis</x:v>
      </x:c>
      <x:c r="T399" s="19" t="str">
        <x:v>02_extracted_evidence/statistics_or_metrics.csv</x:v>
      </x:c>
      <x:c r="U399" s="19" t="str">
        <x:v>research_evidence_package_missed_signals_diagnostic_errors_2026-05-30.tar.gz::02_extracted_evidence/statistics_or_metrics.csv::M-010</x:v>
      </x:c>
    </x:row>
    <x:row r="400">
      <x:c r="A400" s="19" t="str">
        <x:v>B_missed</x:v>
      </x:c>
      <x:c r="B400" s="19" t="str">
        <x:v>research_evidence_package_missed_signals_diagnostic_errors_2026-05-30.tar.gz</x:v>
      </x:c>
      <x:c r="C400" s="19" t="str">
        <x:v>Research B / missed signals and diagnostic errors</x:v>
      </x:c>
      <x:c r="D400" s="19" t="str">
        <x:v>metric</x:v>
      </x:c>
      <x:c r="E400" s="19" t="str">
        <x:v>M-011</x:v>
      </x:c>
      <x:c r="F400" s="19" t="str">
        <x:v>derived_from_case_library</x:v>
      </x:c>
      <x:c r="G400" s="19" t="str"/>
      <x:c r="H400" s="19" t="str">
        <x:v>04_topic_outputs/tables/research_b_missed_signals_case_library.xlsx</x:v>
      </x:c>
      <x:c r="I400" s="19" t="str">
        <x:v>multiple</x:v>
      </x:c>
      <x:c r="J400" s="19" t="str">
        <x:v>multiple</x:v>
      </x:c>
      <x:c r="K400" s="19" t="str"/>
      <x:c r="L400" s="19" t="str">
        <x:v>patient self-advocacy required case count</x:v>
      </x:c>
      <x:c r="M400" s="19" t="str"/>
      <x:c r="N400" s="19" t="str">
        <x:v>patient self-advocacy required case count</x:v>
      </x:c>
      <x:c r="O400" s="19" t="str">
        <x:v>Diagnosis advances only after patient/family insists, researches, or returns repeatedly.</x:v>
      </x:c>
      <x:c r="P400" s="19" t="str"/>
      <x:c r="Q400" s="19" t="str">
        <x:v>unknown</x:v>
      </x:c>
      <x:c r="R400" s="19" t="str"/>
      <x:c r="S400" s="19" t="str">
        <x:v>derived synthesis</x:v>
      </x:c>
      <x:c r="T400" s="19" t="str">
        <x:v>02_extracted_evidence/statistics_or_metrics.csv</x:v>
      </x:c>
      <x:c r="U400" s="19" t="str">
        <x:v>research_evidence_package_missed_signals_diagnostic_errors_2026-05-30.tar.gz::02_extracted_evidence/statistics_or_metrics.csv::M-011</x:v>
      </x:c>
    </x:row>
    <x:row r="401">
      <x:c r="A401" s="19" t="str">
        <x:v>B_missed</x:v>
      </x:c>
      <x:c r="B401" s="19" t="str">
        <x:v>research_evidence_package_missed_signals_diagnostic_errors_2026-05-30.tar.gz</x:v>
      </x:c>
      <x:c r="C401" s="19" t="str">
        <x:v>Research B / missed signals and diagnostic errors</x:v>
      </x:c>
      <x:c r="D401" s="19" t="str">
        <x:v>metric</x:v>
      </x:c>
      <x:c r="E401" s="19" t="str">
        <x:v>M-012</x:v>
      </x:c>
      <x:c r="F401" s="19" t="str">
        <x:v>derived_from_case_library</x:v>
      </x:c>
      <x:c r="G401" s="19" t="str"/>
      <x:c r="H401" s="19" t="str">
        <x:v>04_topic_outputs/tables/research_b_missed_signals_case_library.xlsx</x:v>
      </x:c>
      <x:c r="I401" s="19" t="str">
        <x:v>multiple</x:v>
      </x:c>
      <x:c r="J401" s="19" t="str">
        <x:v>multiple</x:v>
      </x:c>
      <x:c r="K401" s="19" t="str"/>
      <x:c r="L401" s="19" t="str">
        <x:v>low-resource diagnostic supply gap case count</x:v>
      </x:c>
      <x:c r="M401" s="19" t="str"/>
      <x:c r="N401" s="19" t="str">
        <x:v>low-resource diagnostic supply gap case count</x:v>
      </x:c>
      <x:c r="O401" s="19" t="str">
        <x:v>The test/referral needed to identify disease is unavailable or unreliable.</x:v>
      </x:c>
      <x:c r="P401" s="19" t="str"/>
      <x:c r="Q401" s="19" t="str">
        <x:v>unknown</x:v>
      </x:c>
      <x:c r="R401" s="19" t="str"/>
      <x:c r="S401" s="19" t="str">
        <x:v>derived synthesis</x:v>
      </x:c>
      <x:c r="T401" s="19" t="str">
        <x:v>02_extracted_evidence/statistics_or_metrics.csv</x:v>
      </x:c>
      <x:c r="U401" s="19" t="str">
        <x:v>research_evidence_package_missed_signals_diagnostic_errors_2026-05-30.tar.gz::02_extracted_evidence/statistics_or_metrics.csv::M-012</x:v>
      </x:c>
    </x:row>
    <x:row r="402">
      <x:c r="A402" s="19" t="str">
        <x:v>B_missed</x:v>
      </x:c>
      <x:c r="B402" s="19" t="str">
        <x:v>research_evidence_package_missed_signals_diagnostic_errors_2026-05-30.tar.gz</x:v>
      </x:c>
      <x:c r="C402" s="19" t="str">
        <x:v>Research B / missed signals and diagnostic errors</x:v>
      </x:c>
      <x:c r="D402" s="19" t="str">
        <x:v>fact</x:v>
      </x:c>
      <x:c r="E402" s="19" t="str">
        <x:v>F-001</x:v>
      </x:c>
      <x:c r="F402" s="19" t="str">
        <x:v>derived_from_case_library</x:v>
      </x:c>
      <x:c r="G402" s="19" t="str"/>
      <x:c r="H402" s="19" t="str">
        <x:v>04_topic_outputs/tables/research_b_missed_signals_case_library.xlsx</x:v>
      </x:c>
      <x:c r="I402" s="19" t="str">
        <x:v>multiple</x:v>
      </x:c>
      <x:c r="J402" s="19" t="str">
        <x:v>multiple care settings</x:v>
      </x:c>
      <x:c r="K402" s="19" t="str">
        <x:v>symptom dismissed</x:v>
      </x:c>
      <x:c r="L402" s="19" t="str"/>
      <x:c r="M402" s="19" t="str">
        <x:v>symptom dismissed</x:v>
      </x:c>
      <x:c r="N402" s="19" t="str">
        <x:v>Pattern 'symptom dismissed' appeared in 6 case-library rows.</x:v>
      </x:c>
      <x:c r="O402" s="19" t="str">
        <x:v>Patient's stated severity or persistence is treated as low-signal.</x:v>
      </x:c>
      <x:c r="P402" s="19" t="str"/>
      <x:c r="Q402" s="19" t="str"/>
      <x:c r="R402" s="19" t="str"/>
      <x:c r="S402" s="19" t="str">
        <x:v>derived synthesis</x:v>
      </x:c>
      <x:c r="T402" s="19" t="str">
        <x:v>02_extracted_evidence/facts.csv</x:v>
      </x:c>
      <x:c r="U402" s="19" t="str">
        <x:v>research_evidence_package_missed_signals_diagnostic_errors_2026-05-30.tar.gz::02_extracted_evidence/facts.csv::F-001</x:v>
      </x:c>
    </x:row>
    <x:row r="403">
      <x:c r="A403" s="19" t="str">
        <x:v>B_missed</x:v>
      </x:c>
      <x:c r="B403" s="19" t="str">
        <x:v>research_evidence_package_missed_signals_diagnostic_errors_2026-05-30.tar.gz</x:v>
      </x:c>
      <x:c r="C403" s="19" t="str">
        <x:v>Research B / missed signals and diagnostic errors</x:v>
      </x:c>
      <x:c r="D403" s="19" t="str">
        <x:v>fact</x:v>
      </x:c>
      <x:c r="E403" s="19" t="str">
        <x:v>F-002</x:v>
      </x:c>
      <x:c r="F403" s="19" t="str">
        <x:v>derived_from_case_library</x:v>
      </x:c>
      <x:c r="G403" s="19" t="str"/>
      <x:c r="H403" s="19" t="str">
        <x:v>04_topic_outputs/tables/research_b_missed_signals_case_library.xlsx</x:v>
      </x:c>
      <x:c r="I403" s="19" t="str">
        <x:v>multiple</x:v>
      </x:c>
      <x:c r="J403" s="19" t="str">
        <x:v>multiple care settings</x:v>
      </x:c>
      <x:c r="K403" s="19" t="str">
        <x:v>mental-health misattribution</x:v>
      </x:c>
      <x:c r="L403" s="19" t="str"/>
      <x:c r="M403" s="19" t="str">
        <x:v>mental-health misattribution</x:v>
      </x:c>
      <x:c r="N403" s="19" t="str">
        <x:v>Pattern 'mental-health misattribution' appeared in 3 case-library rows.</x:v>
      </x:c>
      <x:c r="O403" s="19" t="str">
        <x:v>Physical illness is explained as anxiety/panic/stress before high-risk alternatives are ruled out.</x:v>
      </x:c>
      <x:c r="P403" s="19" t="str"/>
      <x:c r="Q403" s="19" t="str"/>
      <x:c r="R403" s="19" t="str"/>
      <x:c r="S403" s="19" t="str">
        <x:v>derived synthesis</x:v>
      </x:c>
      <x:c r="T403" s="19" t="str">
        <x:v>02_extracted_evidence/facts.csv</x:v>
      </x:c>
      <x:c r="U403" s="19" t="str">
        <x:v>research_evidence_package_missed_signals_diagnostic_errors_2026-05-30.tar.gz::02_extracted_evidence/facts.csv::F-002</x:v>
      </x:c>
    </x:row>
    <x:row r="404">
      <x:c r="A404" s="19" t="str">
        <x:v>B_missed</x:v>
      </x:c>
      <x:c r="B404" s="19" t="str">
        <x:v>research_evidence_package_missed_signals_diagnostic_errors_2026-05-30.tar.gz</x:v>
      </x:c>
      <x:c r="C404" s="19" t="str">
        <x:v>Research B / missed signals and diagnostic errors</x:v>
      </x:c>
      <x:c r="D404" s="19" t="str">
        <x:v>fact</x:v>
      </x:c>
      <x:c r="E404" s="19" t="str">
        <x:v>F-003</x:v>
      </x:c>
      <x:c r="F404" s="19" t="str">
        <x:v>derived_from_case_library</x:v>
      </x:c>
      <x:c r="G404" s="19" t="str"/>
      <x:c r="H404" s="19" t="str">
        <x:v>04_topic_outputs/tables/research_b_missed_signals_case_library.xlsx</x:v>
      </x:c>
      <x:c r="I404" s="19" t="str">
        <x:v>multiple</x:v>
      </x:c>
      <x:c r="J404" s="19" t="str">
        <x:v>multiple care settings</x:v>
      </x:c>
      <x:c r="K404" s="19" t="str">
        <x:v>normal-test trap</x:v>
      </x:c>
      <x:c r="L404" s="19" t="str"/>
      <x:c r="M404" s="19" t="str">
        <x:v>normal-test trap</x:v>
      </x:c>
      <x:c r="N404" s="19" t="str">
        <x:v>Pattern 'normal-test trap' appeared in 7 case-library rows.</x:v>
      </x:c>
      <x:c r="O404" s="19" t="str">
        <x:v>A normal prior/current test is overgeneralized beyond its scope or timing.</x:v>
      </x:c>
      <x:c r="P404" s="19" t="str"/>
      <x:c r="Q404" s="19" t="str"/>
      <x:c r="R404" s="19" t="str"/>
      <x:c r="S404" s="19" t="str">
        <x:v>derived synthesis</x:v>
      </x:c>
      <x:c r="T404" s="19" t="str">
        <x:v>02_extracted_evidence/facts.csv</x:v>
      </x:c>
      <x:c r="U404" s="19" t="str">
        <x:v>research_evidence_package_missed_signals_diagnostic_errors_2026-05-30.tar.gz::02_extracted_evidence/facts.csv::F-003</x:v>
      </x:c>
    </x:row>
    <x:row r="405">
      <x:c r="A405" s="19" t="str">
        <x:v>B_missed</x:v>
      </x:c>
      <x:c r="B405" s="19" t="str">
        <x:v>research_evidence_package_missed_signals_diagnostic_errors_2026-05-30.tar.gz</x:v>
      </x:c>
      <x:c r="C405" s="19" t="str">
        <x:v>Research B / missed signals and diagnostic errors</x:v>
      </x:c>
      <x:c r="D405" s="19" t="str">
        <x:v>fact</x:v>
      </x:c>
      <x:c r="E405" s="19" t="str">
        <x:v>F-004</x:v>
      </x:c>
      <x:c r="F405" s="19" t="str">
        <x:v>derived_from_case_library</x:v>
      </x:c>
      <x:c r="G405" s="19" t="str"/>
      <x:c r="H405" s="19" t="str">
        <x:v>04_topic_outputs/tables/research_b_missed_signals_case_library.xlsx</x:v>
      </x:c>
      <x:c r="I405" s="19" t="str">
        <x:v>multiple</x:v>
      </x:c>
      <x:c r="J405" s="19" t="str">
        <x:v>multiple care settings</x:v>
      </x:c>
      <x:c r="K405" s="19" t="str">
        <x:v>abnormal result not followed up</x:v>
      </x:c>
      <x:c r="L405" s="19" t="str"/>
      <x:c r="M405" s="19" t="str">
        <x:v>abnormal result not followed up</x:v>
      </x:c>
      <x:c r="N405" s="19" t="str">
        <x:v>Pattern 'abnormal result not followed up' appeared in 9 case-library rows.</x:v>
      </x:c>
      <x:c r="O405" s="19" t="str">
        <x:v>Abnormal lab/imaging/result exists but does not become action.</x:v>
      </x:c>
      <x:c r="P405" s="19" t="str"/>
      <x:c r="Q405" s="19" t="str"/>
      <x:c r="R405" s="19" t="str"/>
      <x:c r="S405" s="19" t="str">
        <x:v>derived synthesis</x:v>
      </x:c>
      <x:c r="T405" s="19" t="str">
        <x:v>02_extracted_evidence/facts.csv</x:v>
      </x:c>
      <x:c r="U405" s="19" t="str">
        <x:v>research_evidence_package_missed_signals_diagnostic_errors_2026-05-30.tar.gz::02_extracted_evidence/facts.csv::F-004</x:v>
      </x:c>
    </x:row>
    <x:row r="406">
      <x:c r="A406" s="19" t="str">
        <x:v>B_missed</x:v>
      </x:c>
      <x:c r="B406" s="19" t="str">
        <x:v>research_evidence_package_missed_signals_diagnostic_errors_2026-05-30.tar.gz</x:v>
      </x:c>
      <x:c r="C406" s="19" t="str">
        <x:v>Research B / missed signals and diagnostic errors</x:v>
      </x:c>
      <x:c r="D406" s="19" t="str">
        <x:v>fact</x:v>
      </x:c>
      <x:c r="E406" s="19" t="str">
        <x:v>F-005</x:v>
      </x:c>
      <x:c r="F406" s="19" t="str">
        <x:v>derived_from_case_library</x:v>
      </x:c>
      <x:c r="G406" s="19" t="str"/>
      <x:c r="H406" s="19" t="str">
        <x:v>04_topic_outputs/tables/research_b_missed_signals_case_library.xlsx</x:v>
      </x:c>
      <x:c r="I406" s="19" t="str">
        <x:v>multiple</x:v>
      </x:c>
      <x:c r="J406" s="19" t="str">
        <x:v>multiple care settings</x:v>
      </x:c>
      <x:c r="K406" s="19" t="str">
        <x:v>repeated visits ignored</x:v>
      </x:c>
      <x:c r="L406" s="19" t="str"/>
      <x:c r="M406" s="19" t="str">
        <x:v>repeated visits ignored</x:v>
      </x:c>
      <x:c r="N406" s="19" t="str">
        <x:v>Pattern 'repeated visits ignored' appeared in 7 case-library rows.</x:v>
      </x:c>
      <x:c r="O406" s="19" t="str">
        <x:v>Return visits are handled as new isolated encounters instead of escalation signals.</x:v>
      </x:c>
      <x:c r="P406" s="19" t="str"/>
      <x:c r="Q406" s="19" t="str"/>
      <x:c r="R406" s="19" t="str"/>
      <x:c r="S406" s="19" t="str">
        <x:v>derived synthesis</x:v>
      </x:c>
      <x:c r="T406" s="19" t="str">
        <x:v>02_extracted_evidence/facts.csv</x:v>
      </x:c>
      <x:c r="U406" s="19" t="str">
        <x:v>research_evidence_package_missed_signals_diagnostic_errors_2026-05-30.tar.gz::02_extracted_evidence/facts.csv::F-005</x:v>
      </x:c>
    </x:row>
    <x:row r="407">
      <x:c r="A407" s="19" t="str">
        <x:v>B_missed</x:v>
      </x:c>
      <x:c r="B407" s="19" t="str">
        <x:v>research_evidence_package_missed_signals_diagnostic_errors_2026-05-30.tar.gz</x:v>
      </x:c>
      <x:c r="C407" s="19" t="str">
        <x:v>Research B / missed signals and diagnostic errors</x:v>
      </x:c>
      <x:c r="D407" s="19" t="str">
        <x:v>fact</x:v>
      </x:c>
      <x:c r="E407" s="19" t="str">
        <x:v>F-006</x:v>
      </x:c>
      <x:c r="F407" s="19" t="str">
        <x:v>derived_from_case_library</x:v>
      </x:c>
      <x:c r="G407" s="19" t="str"/>
      <x:c r="H407" s="19" t="str">
        <x:v>04_topic_outputs/tables/research_b_missed_signals_case_library.xlsx</x:v>
      </x:c>
      <x:c r="I407" s="19" t="str">
        <x:v>multiple</x:v>
      </x:c>
      <x:c r="J407" s="19" t="str">
        <x:v>multiple care settings</x:v>
      </x:c>
      <x:c r="K407" s="19" t="str">
        <x:v>no one connected the dots</x:v>
      </x:c>
      <x:c r="L407" s="19" t="str"/>
      <x:c r="M407" s="19" t="str">
        <x:v>no one connected the dots</x:v>
      </x:c>
      <x:c r="N407" s="19" t="str">
        <x:v>Pattern 'no one connected the dots' appeared in 7 case-library rows.</x:v>
      </x:c>
      <x:c r="O407" s="19" t="str">
        <x:v>Signals distributed across time, specialties, or notes never assemble into a pattern.</x:v>
      </x:c>
      <x:c r="P407" s="19" t="str"/>
      <x:c r="Q407" s="19" t="str"/>
      <x:c r="R407" s="19" t="str"/>
      <x:c r="S407" s="19" t="str">
        <x:v>derived synthesis</x:v>
      </x:c>
      <x:c r="T407" s="19" t="str">
        <x:v>02_extracted_evidence/facts.csv</x:v>
      </x:c>
      <x:c r="U407" s="19" t="str">
        <x:v>research_evidence_package_missed_signals_diagnostic_errors_2026-05-30.tar.gz::02_extracted_evidence/facts.csv::F-006</x:v>
      </x:c>
    </x:row>
    <x:row r="408">
      <x:c r="A408" s="19" t="str">
        <x:v>B_missed</x:v>
      </x:c>
      <x:c r="B408" s="19" t="str">
        <x:v>research_evidence_package_missed_signals_diagnostic_errors_2026-05-30.tar.gz</x:v>
      </x:c>
      <x:c r="C408" s="19" t="str">
        <x:v>Research B / missed signals and diagnostic errors</x:v>
      </x:c>
      <x:c r="D408" s="19" t="str">
        <x:v>fact</x:v>
      </x:c>
      <x:c r="E408" s="19" t="str">
        <x:v>F-007</x:v>
      </x:c>
      <x:c r="F408" s="19" t="str">
        <x:v>derived_from_case_library</x:v>
      </x:c>
      <x:c r="G408" s="19" t="str"/>
      <x:c r="H408" s="19" t="str">
        <x:v>04_topic_outputs/tables/research_b_missed_signals_case_library.xlsx</x:v>
      </x:c>
      <x:c r="I408" s="19" t="str">
        <x:v>multiple</x:v>
      </x:c>
      <x:c r="J408" s="19" t="str">
        <x:v>multiple care settings</x:v>
      </x:c>
      <x:c r="K408" s="19" t="str">
        <x:v>poor handoff</x:v>
      </x:c>
      <x:c r="L408" s="19" t="str"/>
      <x:c r="M408" s="19" t="str">
        <x:v>poor handoff</x:v>
      </x:c>
      <x:c r="N408" s="19" t="str">
        <x:v>Pattern 'poor handoff' appeared in 6 case-library rows.</x:v>
      </x:c>
      <x:c r="O408" s="19" t="str">
        <x:v>Important data crosses team/shift/setting boundaries without reliable receipt/action.</x:v>
      </x:c>
      <x:c r="P408" s="19" t="str"/>
      <x:c r="Q408" s="19" t="str"/>
      <x:c r="R408" s="19" t="str"/>
      <x:c r="S408" s="19" t="str">
        <x:v>derived synthesis</x:v>
      </x:c>
      <x:c r="T408" s="19" t="str">
        <x:v>02_extracted_evidence/facts.csv</x:v>
      </x:c>
      <x:c r="U408" s="19" t="str">
        <x:v>research_evidence_package_missed_signals_diagnostic_errors_2026-05-30.tar.gz::02_extracted_evidence/facts.csv::F-007</x:v>
      </x:c>
    </x:row>
    <x:row r="409">
      <x:c r="A409" s="19" t="str">
        <x:v>B_missed</x:v>
      </x:c>
      <x:c r="B409" s="19" t="str">
        <x:v>research_evidence_package_missed_signals_diagnostic_errors_2026-05-30.tar.gz</x:v>
      </x:c>
      <x:c r="C409" s="19" t="str">
        <x:v>Research B / missed signals and diagnostic errors</x:v>
      </x:c>
      <x:c r="D409" s="19" t="str">
        <x:v>fact</x:v>
      </x:c>
      <x:c r="E409" s="19" t="str">
        <x:v>F-008</x:v>
      </x:c>
      <x:c r="F409" s="19" t="str">
        <x:v>derived_from_case_library</x:v>
      </x:c>
      <x:c r="G409" s="19" t="str"/>
      <x:c r="H409" s="19" t="str">
        <x:v>04_topic_outputs/tables/research_b_missed_signals_case_library.xlsx</x:v>
      </x:c>
      <x:c r="I409" s="19" t="str">
        <x:v>multiple</x:v>
      </x:c>
      <x:c r="J409" s="19" t="str">
        <x:v>multiple care settings</x:v>
      </x:c>
      <x:c r="K409" s="19" t="str">
        <x:v>no follow-up ownership</x:v>
      </x:c>
      <x:c r="L409" s="19" t="str"/>
      <x:c r="M409" s="19" t="str">
        <x:v>no follow-up ownership</x:v>
      </x:c>
      <x:c r="N409" s="19" t="str">
        <x:v>Pattern 'no follow-up ownership' appeared in 7 case-library rows.</x:v>
      </x:c>
      <x:c r="O409" s="19" t="str">
        <x:v>A necessary next step exists, but no named accountable person owns it.</x:v>
      </x:c>
      <x:c r="P409" s="19" t="str"/>
      <x:c r="Q409" s="19" t="str"/>
      <x:c r="R409" s="19" t="str"/>
      <x:c r="S409" s="19" t="str">
        <x:v>derived synthesis</x:v>
      </x:c>
      <x:c r="T409" s="19" t="str">
        <x:v>02_extracted_evidence/facts.csv</x:v>
      </x:c>
      <x:c r="U409" s="19" t="str">
        <x:v>research_evidence_package_missed_signals_diagnostic_errors_2026-05-30.tar.gz::02_extracted_evidence/facts.csv::F-008</x:v>
      </x:c>
    </x:row>
    <x:row r="410">
      <x:c r="A410" s="19" t="str">
        <x:v>B_missed</x:v>
      </x:c>
      <x:c r="B410" s="19" t="str">
        <x:v>research_evidence_package_missed_signals_diagnostic_errors_2026-05-30.tar.gz</x:v>
      </x:c>
      <x:c r="C410" s="19" t="str">
        <x:v>Research B / missed signals and diagnostic errors</x:v>
      </x:c>
      <x:c r="D410" s="19" t="str">
        <x:v>fact</x:v>
      </x:c>
      <x:c r="E410" s="19" t="str">
        <x:v>F-009</x:v>
      </x:c>
      <x:c r="F410" s="19" t="str">
        <x:v>derived_from_case_library</x:v>
      </x:c>
      <x:c r="G410" s="19" t="str"/>
      <x:c r="H410" s="19" t="str">
        <x:v>04_topic_outputs/tables/research_b_missed_signals_case_library.xlsx</x:v>
      </x:c>
      <x:c r="I410" s="19" t="str">
        <x:v>multiple</x:v>
      </x:c>
      <x:c r="J410" s="19" t="str">
        <x:v>multiple care settings</x:v>
      </x:c>
      <x:c r="K410" s="19" t="str">
        <x:v>referral delay</x:v>
      </x:c>
      <x:c r="L410" s="19" t="str"/>
      <x:c r="M410" s="19" t="str">
        <x:v>referral delay</x:v>
      </x:c>
      <x:c r="N410" s="19" t="str">
        <x:v>Pattern 'referral delay' appeared in 7 case-library rows.</x:v>
      </x:c>
      <x:c r="O410" s="19" t="str">
        <x:v>Patient needs another expertise/pathway but referral is late, absent, or not completed.</x:v>
      </x:c>
      <x:c r="P410" s="19" t="str"/>
      <x:c r="Q410" s="19" t="str"/>
      <x:c r="R410" s="19" t="str"/>
      <x:c r="S410" s="19" t="str">
        <x:v>derived synthesis</x:v>
      </x:c>
      <x:c r="T410" s="19" t="str">
        <x:v>02_extracted_evidence/facts.csv</x:v>
      </x:c>
      <x:c r="U410" s="19" t="str">
        <x:v>research_evidence_package_missed_signals_diagnostic_errors_2026-05-30.tar.gz::02_extracted_evidence/facts.csv::F-009</x:v>
      </x:c>
    </x:row>
    <x:row r="411">
      <x:c r="A411" s="19" t="str">
        <x:v>B_missed</x:v>
      </x:c>
      <x:c r="B411" s="19" t="str">
        <x:v>research_evidence_package_missed_signals_diagnostic_errors_2026-05-30.tar.gz</x:v>
      </x:c>
      <x:c r="C411" s="19" t="str">
        <x:v>Research B / missed signals and diagnostic errors</x:v>
      </x:c>
      <x:c r="D411" s="19" t="str">
        <x:v>fact</x:v>
      </x:c>
      <x:c r="E411" s="19" t="str">
        <x:v>F-010</x:v>
      </x:c>
      <x:c r="F411" s="19" t="str">
        <x:v>derived_from_case_library</x:v>
      </x:c>
      <x:c r="G411" s="19" t="str"/>
      <x:c r="H411" s="19" t="str">
        <x:v>04_topic_outputs/tables/research_b_missed_signals_case_library.xlsx</x:v>
      </x:c>
      <x:c r="I411" s="19" t="str">
        <x:v>multiple</x:v>
      </x:c>
      <x:c r="J411" s="19" t="str">
        <x:v>multiple care settings</x:v>
      </x:c>
      <x:c r="K411" s="19" t="str">
        <x:v>red flag missed</x:v>
      </x:c>
      <x:c r="L411" s="19" t="str"/>
      <x:c r="M411" s="19" t="str">
        <x:v>red flag missed</x:v>
      </x:c>
      <x:c r="N411" s="19" t="str">
        <x:v>Pattern 'red flag missed' appeared in 9 case-library rows.</x:v>
      </x:c>
      <x:c r="O411" s="19" t="str">
        <x:v>Time-sensitive warning sign is present but not elevated.</x:v>
      </x:c>
      <x:c r="P411" s="19" t="str"/>
      <x:c r="Q411" s="19" t="str"/>
      <x:c r="R411" s="19" t="str"/>
      <x:c r="S411" s="19" t="str">
        <x:v>derived synthesis</x:v>
      </x:c>
      <x:c r="T411" s="19" t="str">
        <x:v>02_extracted_evidence/facts.csv</x:v>
      </x:c>
      <x:c r="U411" s="19" t="str">
        <x:v>research_evidence_package_missed_signals_diagnostic_errors_2026-05-30.tar.gz::02_extracted_evidence/facts.csv::F-010</x:v>
      </x:c>
    </x:row>
    <x:row r="412">
      <x:c r="A412" s="19" t="str">
        <x:v>B_missed</x:v>
      </x:c>
      <x:c r="B412" s="19" t="str">
        <x:v>research_evidence_package_missed_signals_diagnostic_errors_2026-05-30.tar.gz</x:v>
      </x:c>
      <x:c r="C412" s="19" t="str">
        <x:v>Research B / missed signals and diagnostic errors</x:v>
      </x:c>
      <x:c r="D412" s="19" t="str">
        <x:v>fact</x:v>
      </x:c>
      <x:c r="E412" s="19" t="str">
        <x:v>F-011</x:v>
      </x:c>
      <x:c r="F412" s="19" t="str">
        <x:v>derived_from_case_library</x:v>
      </x:c>
      <x:c r="G412" s="19" t="str"/>
      <x:c r="H412" s="19" t="str">
        <x:v>04_topic_outputs/tables/research_b_missed_signals_case_library.xlsx</x:v>
      </x:c>
      <x:c r="I412" s="19" t="str">
        <x:v>multiple</x:v>
      </x:c>
      <x:c r="J412" s="19" t="str">
        <x:v>multiple care settings</x:v>
      </x:c>
      <x:c r="K412" s="19" t="str">
        <x:v>patient self-advocacy required</x:v>
      </x:c>
      <x:c r="L412" s="19" t="str"/>
      <x:c r="M412" s="19" t="str">
        <x:v>patient self-advocacy required</x:v>
      </x:c>
      <x:c r="N412" s="19" t="str">
        <x:v>Pattern 'patient self-advocacy required' appeared in 6 case-library rows.</x:v>
      </x:c>
      <x:c r="O412" s="19" t="str">
        <x:v>Diagnosis advances only after patient/family insists, researches, or returns repeatedly.</x:v>
      </x:c>
      <x:c r="P412" s="19" t="str"/>
      <x:c r="Q412" s="19" t="str"/>
      <x:c r="R412" s="19" t="str"/>
      <x:c r="S412" s="19" t="str">
        <x:v>derived synthesis</x:v>
      </x:c>
      <x:c r="T412" s="19" t="str">
        <x:v>02_extracted_evidence/facts.csv</x:v>
      </x:c>
      <x:c r="U412" s="19" t="str">
        <x:v>research_evidence_package_missed_signals_diagnostic_errors_2026-05-30.tar.gz::02_extracted_evidence/facts.csv::F-011</x:v>
      </x:c>
    </x:row>
    <x:row r="413">
      <x:c r="A413" s="19" t="str">
        <x:v>B_missed</x:v>
      </x:c>
      <x:c r="B413" s="19" t="str">
        <x:v>research_evidence_package_missed_signals_diagnostic_errors_2026-05-30.tar.gz</x:v>
      </x:c>
      <x:c r="C413" s="19" t="str">
        <x:v>Research B / missed signals and diagnostic errors</x:v>
      </x:c>
      <x:c r="D413" s="19" t="str">
        <x:v>fact</x:v>
      </x:c>
      <x:c r="E413" s="19" t="str">
        <x:v>F-012</x:v>
      </x:c>
      <x:c r="F413" s="19" t="str">
        <x:v>derived_from_case_library</x:v>
      </x:c>
      <x:c r="G413" s="19" t="str"/>
      <x:c r="H413" s="19" t="str">
        <x:v>04_topic_outputs/tables/research_b_missed_signals_case_library.xlsx</x:v>
      </x:c>
      <x:c r="I413" s="19" t="str">
        <x:v>multiple</x:v>
      </x:c>
      <x:c r="J413" s="19" t="str">
        <x:v>multiple care settings</x:v>
      </x:c>
      <x:c r="K413" s="19" t="str">
        <x:v>low-resource diagnostic supply gap</x:v>
      </x:c>
      <x:c r="L413" s="19" t="str"/>
      <x:c r="M413" s="19" t="str">
        <x:v>low-resource diagnostic supply gap</x:v>
      </x:c>
      <x:c r="N413" s="19" t="str">
        <x:v>Pattern 'low-resource diagnostic supply gap' appeared in 3 case-library rows.</x:v>
      </x:c>
      <x:c r="O413" s="19" t="str">
        <x:v>The test/referral needed to identify disease is unavailable or unreliable.</x:v>
      </x:c>
      <x:c r="P413" s="19" t="str"/>
      <x:c r="Q413" s="19" t="str"/>
      <x:c r="R413" s="19" t="str"/>
      <x:c r="S413" s="19" t="str">
        <x:v>derived synthesis</x:v>
      </x:c>
      <x:c r="T413" s="19" t="str">
        <x:v>02_extracted_evidence/facts.csv</x:v>
      </x:c>
      <x:c r="U413" s="19" t="str">
        <x:v>research_evidence_package_missed_signals_diagnostic_errors_2026-05-30.tar.gz::02_extracted_evidence/facts.csv::F-012</x:v>
      </x:c>
    </x:row>
    <x:row r="414">
      <x:c r="A414" s="19" t="str">
        <x:v>C_complaints</x:v>
      </x:c>
      <x:c r="B414" s="19" t="str">
        <x:v>research_evidence_package_patient_complaints_identification_failures_2026-05-30.tar.gz</x:v>
      </x:c>
      <x:c r="C414" s="19" t="str">
        <x:v>Research C / patient complaints and identification failures</x:v>
      </x:c>
      <x:c r="D414" s="19" t="str">
        <x:v>evidence_item</x:v>
      </x:c>
      <x:c r="E414" s="19" t="str">
        <x:v>E001</x:v>
      </x:c>
      <x:c r="F414" s="19" t="str">
        <x:v>S001</x:v>
      </x:c>
      <x:c r="G414" s="19" t="str">
        <x:v>Aggressive and dismissive treatment</x:v>
      </x:c>
      <x:c r="H414" s="19" t="str">
        <x:v>https://www.careopinion.org.uk/1429947</x:v>
      </x:c>
      <x:c r="I414" s="19" t="str">
        <x:v>UK</x:v>
      </x:c>
      <x:c r="J414" s="19" t="str">
        <x:v>hospital / acute assessment</x:v>
      </x:c>
      <x:c r="K414" s="19" t="str">
        <x:v>doctor did not listen</x:v>
      </x:c>
      <x:c r="L414" s="19" t="str">
        <x:v>unresolved symptoms</x:v>
      </x:c>
      <x:c r="M414" s="19" t="str">
        <x:v>doctor did not listen</x:v>
      </x:c>
      <x:c r="N414" s="19" t="str">
        <x:v>Dismissal can occur before diagnostic reasoning is complete.</x:v>
      </x:c>
      <x:c r="O414" s="19" t="str">
        <x:v>Doctor reportedly restricted history to yes/no answers.</x:v>
      </x:c>
      <x:c r="P414" s="19" t="str">
        <x:v>Patient narrative and context not captured.</x:v>
      </x:c>
      <x:c r="Q414" s="19" t="str"/>
      <x:c r="R414" s="19" t="str">
        <x:v>Capture patient concern verbatim and flag interrupted histories.</x:v>
      </x:c>
      <x:c r="S414" s="19" t="str">
        <x:v>medium</x:v>
      </x:c>
      <x:c r="T414" s="19" t="str">
        <x:v>02_extracted_evidence/evidence_items.csv</x:v>
      </x:c>
      <x:c r="U414" s="19" t="str">
        <x:v>research_evidence_package_patient_complaints_identification_failures_2026-05-30.tar.gz::02_extracted_evidence/evidence_items.csv::E001</x:v>
      </x:c>
    </x:row>
    <x:row r="415">
      <x:c r="A415" s="19" t="str">
        <x:v>C_complaints</x:v>
      </x:c>
      <x:c r="B415" s="19" t="str">
        <x:v>research_evidence_package_patient_complaints_identification_failures_2026-05-30.tar.gz</x:v>
      </x:c>
      <x:c r="C415" s="19" t="str">
        <x:v>Research C / patient complaints and identification failures</x:v>
      </x:c>
      <x:c r="D415" s="19" t="str">
        <x:v>evidence_item</x:v>
      </x:c>
      <x:c r="E415" s="19" t="str">
        <x:v>E002</x:v>
      </x:c>
      <x:c r="F415" s="19" t="str">
        <x:v>S002</x:v>
      </x:c>
      <x:c r="G415" s="19" t="str">
        <x:v>Doctors are not listening to me</x:v>
      </x:c>
      <x:c r="H415" s="19" t="str">
        <x:v>https://www.careopinion.org.uk/1258944</x:v>
      </x:c>
      <x:c r="I415" s="19" t="str">
        <x:v>UK</x:v>
      </x:c>
      <x:c r="J415" s="19" t="str">
        <x:v>primary care</x:v>
      </x:c>
      <x:c r="K415" s="19" t="str">
        <x:v>one-symptom focus</x:v>
      </x:c>
      <x:c r="L415" s="19" t="str">
        <x:v>chronic pain, asthma symptoms, reflux</x:v>
      </x:c>
      <x:c r="M415" s="19" t="str">
        <x:v>one-symptom focus</x:v>
      </x:c>
      <x:c r="N415" s="19" t="str">
        <x:v>Visit closure can leave unresolved active concerns.</x:v>
      </x:c>
      <x:c r="O415" s="19" t="str">
        <x:v>Only reflux was addressed according to patient.</x:v>
      </x:c>
      <x:c r="P415" s="19" t="str">
        <x:v>Pain medication and asthma concerns not addressed.</x:v>
      </x:c>
      <x:c r="Q415" s="19" t="str"/>
      <x:c r="R415" s="19" t="str">
        <x:v>Require disposition for each patient-listed issue.</x:v>
      </x:c>
      <x:c r="S415" s="19" t="str">
        <x:v>medium</x:v>
      </x:c>
      <x:c r="T415" s="19" t="str">
        <x:v>02_extracted_evidence/evidence_items.csv</x:v>
      </x:c>
      <x:c r="U415" s="19" t="str">
        <x:v>research_evidence_package_patient_complaints_identification_failures_2026-05-30.tar.gz::02_extracted_evidence/evidence_items.csv::E002</x:v>
      </x:c>
    </x:row>
    <x:row r="416">
      <x:c r="A416" s="19" t="str">
        <x:v>C_complaints</x:v>
      </x:c>
      <x:c r="B416" s="19" t="str">
        <x:v>research_evidence_package_patient_complaints_identification_failures_2026-05-30.tar.gz</x:v>
      </x:c>
      <x:c r="C416" s="19" t="str">
        <x:v>Research C / patient complaints and identification failures</x:v>
      </x:c>
      <x:c r="D416" s="19" t="str">
        <x:v>evidence_item</x:v>
      </x:c>
      <x:c r="E416" s="19" t="str">
        <x:v>E003</x:v>
      </x:c>
      <x:c r="F416" s="19" t="str">
        <x:v>S003</x:v>
      </x:c>
      <x:c r="G416" s="19" t="str">
        <x:v>Left in pain and sent home with no diagnosis</x:v>
      </x:c>
      <x:c r="H416" s="19" t="str">
        <x:v>https://www.careopinion.org.uk/1117906</x:v>
      </x:c>
      <x:c r="I416" s="19" t="str">
        <x:v>Scotland, UK</x:v>
      </x:c>
      <x:c r="J416" s="19" t="str">
        <x:v>emergency department</x:v>
      </x:c>
      <x:c r="K416" s="19" t="str">
        <x:v>normal-test trap</x:v>
      </x:c>
      <x:c r="L416" s="19" t="str">
        <x:v>severe pain and breathlessness</x:v>
      </x:c>
      <x:c r="M416" s="19" t="str">
        <x:v>normal-test trap</x:v>
      </x:c>
      <x:c r="N416" s="19" t="str">
        <x:v>Normal tests do not equal diagnosis.</x:v>
      </x:c>
      <x:c r="O416" s="19" t="str">
        <x:v>Bloods/chest X-ray considered reassuring; discharged.</x:v>
      </x:c>
      <x:c r="P416" s="19" t="str">
        <x:v>Cause of severe symptoms not identified/explained.</x:v>
      </x:c>
      <x:c r="Q416" s="19" t="str"/>
      <x:c r="R416" s="19" t="str">
        <x:v>Discharge must document unresolved symptoms and return triggers.</x:v>
      </x:c>
      <x:c r="S416" s="19" t="str">
        <x:v>medium</x:v>
      </x:c>
      <x:c r="T416" s="19" t="str">
        <x:v>02_extracted_evidence/evidence_items.csv</x:v>
      </x:c>
      <x:c r="U416" s="19" t="str">
        <x:v>research_evidence_package_patient_complaints_identification_failures_2026-05-30.tar.gz::02_extracted_evidence/evidence_items.csv::E003</x:v>
      </x:c>
    </x:row>
    <x:row r="417">
      <x:c r="A417" s="19" t="str">
        <x:v>C_complaints</x:v>
      </x:c>
      <x:c r="B417" s="19" t="str">
        <x:v>research_evidence_package_patient_complaints_identification_failures_2026-05-30.tar.gz</x:v>
      </x:c>
      <x:c r="C417" s="19" t="str">
        <x:v>Research C / patient complaints and identification failures</x:v>
      </x:c>
      <x:c r="D417" s="19" t="str">
        <x:v>evidence_item</x:v>
      </x:c>
      <x:c r="E417" s="19" t="str">
        <x:v>E004</x:v>
      </x:c>
      <x:c r="F417" s="19" t="str">
        <x:v>S004</x:v>
      </x:c>
      <x:c r="G417" s="19" t="str">
        <x:v>Dismissed an elderly person</x:v>
      </x:c>
      <x:c r="H417" s="19" t="str">
        <x:v>https://www.careopinion.org.uk/1349233</x:v>
      </x:c>
      <x:c r="I417" s="19" t="str">
        <x:v>England, UK</x:v>
      </x:c>
      <x:c r="J417" s="19" t="str">
        <x:v>A&amp;E, GP, ambulance/111</x:v>
      </x:c>
      <x:c r="K417" s="19" t="str">
        <x:v>prior cancer history missed</x:v>
      </x:c>
      <x:c r="L417" s="19" t="str">
        <x:v>spinal cancer after bowel cancer</x:v>
      </x:c>
      <x:c r="M417" s="19" t="str">
        <x:v>prior cancer history missed</x:v>
      </x:c>
      <x:c r="N417" s="19" t="str">
        <x:v>Prior cancer history needs active surfacing.</x:v>
      </x:c>
      <x:c r="O417" s="19" t="str">
        <x:v>Multiple services reportedly dismissed pain as age-related.</x:v>
      </x:c>
      <x:c r="P417" s="19" t="str">
        <x:v>Spinal cancer reportedly identified late.</x:v>
      </x:c>
      <x:c r="Q417" s="19" t="str"/>
      <x:c r="R417" s="19" t="str">
        <x:v>Prior cancer + new focal pain should trigger recurrence/metastasis consideration.</x:v>
      </x:c>
      <x:c r="S417" s="19" t="str">
        <x:v>medium</x:v>
      </x:c>
      <x:c r="T417" s="19" t="str">
        <x:v>02_extracted_evidence/evidence_items.csv</x:v>
      </x:c>
      <x:c r="U417" s="19" t="str">
        <x:v>research_evidence_package_patient_complaints_identification_failures_2026-05-30.tar.gz::02_extracted_evidence/evidence_items.csv::E004</x:v>
      </x:c>
    </x:row>
    <x:row r="418">
      <x:c r="A418" s="19" t="str">
        <x:v>C_complaints</x:v>
      </x:c>
      <x:c r="B418" s="19" t="str">
        <x:v>research_evidence_package_patient_complaints_identification_failures_2026-05-30.tar.gz</x:v>
      </x:c>
      <x:c r="C418" s="19" t="str">
        <x:v>Research C / patient complaints and identification failures</x:v>
      </x:c>
      <x:c r="D418" s="19" t="str">
        <x:v>evidence_item</x:v>
      </x:c>
      <x:c r="E418" s="19" t="str">
        <x:v>E005</x:v>
      </x:c>
      <x:c r="F418" s="19" t="str">
        <x:v>S005</x:v>
      </x:c>
      <x:c r="G418" s="19" t="str">
        <x:v>My daughter’s experience at CAMHS</x:v>
      </x:c>
      <x:c r="H418" s="19" t="str">
        <x:v>https://www.careopinion.org.uk/176152</x:v>
      </x:c>
      <x:c r="I418" s="19" t="str">
        <x:v>Scotland, UK</x:v>
      </x:c>
      <x:c r="J418" s="19" t="str">
        <x:v>CAMHS</x:v>
      </x:c>
      <x:c r="K418" s="19" t="str">
        <x:v>family history ignored</x:v>
      </x:c>
      <x:c r="L418" s="19" t="str">
        <x:v>mood disorder / bipolar disorder</x:v>
      </x:c>
      <x:c r="M418" s="19" t="str">
        <x:v>family history ignored</x:v>
      </x:c>
      <x:c r="N418" s="19" t="str">
        <x:v>Family history/caregiver input can be diagnostic signal.</x:v>
      </x:c>
      <x:c r="O418" s="19" t="str">
        <x:v>Initial psychiatrist reportedly dismissed family input/genetic history.</x:v>
      </x:c>
      <x:c r="P418" s="19" t="str">
        <x:v>Bipolar disorder not identified until after deterioration.</x:v>
      </x:c>
      <x:c r="Q418" s="19" t="str"/>
      <x:c r="R418" s="19" t="str">
        <x:v>Structure family history and caregiver concern in mental-health assessments.</x:v>
      </x:c>
      <x:c r="S418" s="19" t="str">
        <x:v>medium</x:v>
      </x:c>
      <x:c r="T418" s="19" t="str">
        <x:v>02_extracted_evidence/evidence_items.csv</x:v>
      </x:c>
      <x:c r="U418" s="19" t="str">
        <x:v>research_evidence_package_patient_complaints_identification_failures_2026-05-30.tar.gz::02_extracted_evidence/evidence_items.csv::E005</x:v>
      </x:c>
    </x:row>
    <x:row r="419">
      <x:c r="A419" s="19" t="str">
        <x:v>C_complaints</x:v>
      </x:c>
      <x:c r="B419" s="19" t="str">
        <x:v>research_evidence_package_patient_complaints_identification_failures_2026-05-30.tar.gz</x:v>
      </x:c>
      <x:c r="C419" s="19" t="str">
        <x:v>Research C / patient complaints and identification failures</x:v>
      </x:c>
      <x:c r="D419" s="19" t="str">
        <x:v>evidence_item</x:v>
      </x:c>
      <x:c r="E419" s="19" t="str">
        <x:v>E006</x:v>
      </x:c>
      <x:c r="F419" s="19" t="str">
        <x:v>S006</x:v>
      </x:c>
      <x:c r="G419" s="19" t="str">
        <x:v>Denied ADHD referral</x:v>
      </x:c>
      <x:c r="H419" s="19" t="str">
        <x:v>https://www.careopinion.org.uk/1167674</x:v>
      </x:c>
      <x:c r="I419" s="19" t="str">
        <x:v>Scotland, UK</x:v>
      </x:c>
      <x:c r="J419" s="19" t="str">
        <x:v>primary care to mental health referral</x:v>
      </x:c>
      <x:c r="K419" s="19" t="str">
        <x:v>referral pathway failure</x:v>
      </x:c>
      <x:c r="L419" s="19" t="str">
        <x:v>suspected adult ADHD</x:v>
      </x:c>
      <x:c r="M419" s="19" t="str">
        <x:v>referral pathway failure</x:v>
      </x:c>
      <x:c r="N419" s="19" t="str">
        <x:v>Referral rejection can be confused with diagnostic exclusion.</x:v>
      </x:c>
      <x:c r="O419" s="19" t="str">
        <x:v>Psychiatry declined assessment; later no adult pathway stated.</x:v>
      </x:c>
      <x:c r="P419" s="19" t="str">
        <x:v>Patient felt ADHD effectively ruled out without assessment.</x:v>
      </x:c>
      <x:c r="Q419" s="19" t="str"/>
      <x:c r="R419" s="19" t="str">
        <x:v>Make referral outcomes transparent: no pathway vs ruled out vs more info needed.</x:v>
      </x:c>
      <x:c r="S419" s="19" t="str">
        <x:v>medium</x:v>
      </x:c>
      <x:c r="T419" s="19" t="str">
        <x:v>02_extracted_evidence/evidence_items.csv</x:v>
      </x:c>
      <x:c r="U419" s="19" t="str">
        <x:v>research_evidence_package_patient_complaints_identification_failures_2026-05-30.tar.gz::02_extracted_evidence/evidence_items.csv::E006</x:v>
      </x:c>
    </x:row>
    <x:row r="420">
      <x:c r="A420" s="19" t="str">
        <x:v>C_complaints</x:v>
      </x:c>
      <x:c r="B420" s="19" t="str">
        <x:v>research_evidence_package_patient_complaints_identification_failures_2026-05-30.tar.gz</x:v>
      </x:c>
      <x:c r="C420" s="19" t="str">
        <x:v>Research C / patient complaints and identification failures</x:v>
      </x:c>
      <x:c r="D420" s="19" t="str">
        <x:v>evidence_item</x:v>
      </x:c>
      <x:c r="E420" s="19" t="str">
        <x:v>E007</x:v>
      </x:c>
      <x:c r="F420" s="19" t="str">
        <x:v>S008</x:v>
      </x:c>
      <x:c r="G420" s="19" t="str">
        <x:v>Broken trust - clinical failings</x:v>
      </x:c>
      <x:c r="H420" s="19" t="str">
        <x:v>https://www.ombudsman.org.uk/publications/broken-trust-making-patient-safety-more-just-promise-report/broken-trust-our-casework-evidence-clinical-failings</x:v>
      </x:c>
      <x:c r="I420" s="19" t="str">
        <x:v>England, UK</x:v>
      </x:c>
      <x:c r="J420" s="19" t="str">
        <x:v>out-of-hours GP / ambulance / ED</x:v>
      </x:c>
      <x:c r="K420" s="19" t="str">
        <x:v>normal-test trap</x:v>
      </x:c>
      <x:c r="L420" s="19" t="str">
        <x:v>pulmonary embolism signs</x:v>
      </x:c>
      <x:c r="M420" s="19" t="str">
        <x:v>normal-test trap</x:v>
      </x:c>
      <x:c r="N420" s="19" t="str">
        <x:v>Discordant tests should not close diagnosis.</x:v>
      </x:c>
      <x:c r="O420" s="19" t="str">
        <x:v>ED diagnosed pneumonia and discharged after clear chest X-ray.</x:v>
      </x:c>
      <x:c r="P420" s="19" t="str">
        <x:v>Pulmonary embolism likely missed; PE blood test not done.</x:v>
      </x:c>
      <x:c r="Q420" s="19" t="str"/>
      <x:c r="R420" s="19" t="str">
        <x:v>Flag pneumonia diagnosis + clear X-ray + PE signs mismatch.</x:v>
      </x:c>
      <x:c r="S420" s="19" t="str">
        <x:v>high</x:v>
      </x:c>
      <x:c r="T420" s="19" t="str">
        <x:v>02_extracted_evidence/evidence_items.csv</x:v>
      </x:c>
      <x:c r="U420" s="19" t="str">
        <x:v>research_evidence_package_patient_complaints_identification_failures_2026-05-30.tar.gz::02_extracted_evidence/evidence_items.csv::E007</x:v>
      </x:c>
    </x:row>
    <x:row r="421">
      <x:c r="A421" s="19" t="str">
        <x:v>C_complaints</x:v>
      </x:c>
      <x:c r="B421" s="19" t="str">
        <x:v>research_evidence_package_patient_complaints_identification_failures_2026-05-30.tar.gz</x:v>
      </x:c>
      <x:c r="C421" s="19" t="str">
        <x:v>Research C / patient complaints and identification failures</x:v>
      </x:c>
      <x:c r="D421" s="19" t="str">
        <x:v>evidence_item</x:v>
      </x:c>
      <x:c r="E421" s="19" t="str">
        <x:v>E008</x:v>
      </x:c>
      <x:c r="F421" s="19" t="str">
        <x:v>S011</x:v>
      </x:c>
      <x:c r="G421" s="19" t="str">
        <x:v>Continuity of care: delayed diagnosis in GP practices</x:v>
      </x:c>
      <x:c r="H421" s="19" t="str">
        <x:v>https://www.hssib.org.uk/patient-safety-investigations/continuity-of-care-delayed-diagnosis-in-gp-practices/investigation-report/</x:v>
      </x:c>
      <x:c r="I421" s="19" t="str">
        <x:v>England, UK</x:v>
      </x:c>
      <x:c r="J421" s="19" t="str">
        <x:v>GP, out-of-hours GP, ED, oncology</x:v>
      </x:c>
      <x:c r="K421" s="19" t="str">
        <x:v>repeat visits ignored</x:v>
      </x:c>
      <x:c r="L421" s="19" t="str">
        <x:v>metastatic male breast cancer to spine</x:v>
      </x:c>
      <x:c r="M421" s="19" t="str">
        <x:v>repeat visits ignored</x:v>
      </x:c>
      <x:c r="N421" s="19" t="str">
        <x:v>No one connected repeated unresolved symptom pattern.</x:v>
      </x:c>
      <x:c r="O421" s="19" t="str">
        <x:v>Multiple clinicians saw him over eight months.</x:v>
      </x:c>
      <x:c r="P421" s="19" t="str">
        <x:v>Metastatic cancer not identified until spinal lump found.</x:v>
      </x:c>
      <x:c r="Q421" s="19" t="str"/>
      <x:c r="R421" s="19" t="str">
        <x:v>Create unresolved symptom timeline across clinicians.</x:v>
      </x:c>
      <x:c r="S421" s="19" t="str">
        <x:v>high</x:v>
      </x:c>
      <x:c r="T421" s="19" t="str">
        <x:v>02_extracted_evidence/evidence_items.csv</x:v>
      </x:c>
      <x:c r="U421" s="19" t="str">
        <x:v>research_evidence_package_patient_complaints_identification_failures_2026-05-30.tar.gz::02_extracted_evidence/evidence_items.csv::E008</x:v>
      </x:c>
    </x:row>
    <x:row r="422">
      <x:c r="A422" s="19" t="str">
        <x:v>C_complaints</x:v>
      </x:c>
      <x:c r="B422" s="19" t="str">
        <x:v>research_evidence_package_patient_complaints_identification_failures_2026-05-30.tar.gz</x:v>
      </x:c>
      <x:c r="C422" s="19" t="str">
        <x:v>Research C / patient complaints and identification failures</x:v>
      </x:c>
      <x:c r="D422" s="19" t="str">
        <x:v>evidence_item</x:v>
      </x:c>
      <x:c r="E422" s="19" t="str">
        <x:v>E009</x:v>
      </x:c>
      <x:c r="F422" s="19" t="str">
        <x:v>S012</x:v>
      </x:c>
      <x:c r="G422" s="19" t="str">
        <x:v>Delayed diagnosis of diabetes in a child</x:v>
      </x:c>
      <x:c r="H422" s="19" t="str">
        <x:v>https://www.hdc.org.nz/decisions/search-decisions/2023/20hdc02300/</x:v>
      </x:c>
      <x:c r="I422" s="19" t="str">
        <x:v>New Zealand</x:v>
      </x:c>
      <x:c r="J422" s="19" t="str">
        <x:v>primary care</x:v>
      </x:c>
      <x:c r="K422" s="19" t="str">
        <x:v>test not integrated</x:v>
      </x:c>
      <x:c r="L422" s="19" t="str">
        <x:v>diabetes in child</x:v>
      </x:c>
      <x:c r="M422" s="19" t="str">
        <x:v>test not integrated</x:v>
      </x:c>
      <x:c r="N422" s="19" t="str">
        <x:v>Test completion does not ensure cognitive integration.</x:v>
      </x:c>
      <x:c r="O422" s="19" t="str">
        <x:v>Urinalysis did not lead to timely diagnosis.</x:v>
      </x:c>
      <x:c r="P422" s="19" t="str">
        <x:v>Diabetes not promptly identified.</x:v>
      </x:c>
      <x:c r="Q422" s="19" t="str"/>
      <x:c r="R422" s="19" t="str">
        <x:v>Abnormal point-of-care results should interrupt clinician workflow.</x:v>
      </x:c>
      <x:c r="S422" s="19" t="str">
        <x:v>high</x:v>
      </x:c>
      <x:c r="T422" s="19" t="str">
        <x:v>02_extracted_evidence/evidence_items.csv</x:v>
      </x:c>
      <x:c r="U422" s="19" t="str">
        <x:v>research_evidence_package_patient_complaints_identification_failures_2026-05-30.tar.gz::02_extracted_evidence/evidence_items.csv::E009</x:v>
      </x:c>
    </x:row>
    <x:row r="423">
      <x:c r="A423" s="19" t="str">
        <x:v>C_complaints</x:v>
      </x:c>
      <x:c r="B423" s="19" t="str">
        <x:v>research_evidence_package_patient_complaints_identification_failures_2026-05-30.tar.gz</x:v>
      </x:c>
      <x:c r="C423" s="19" t="str">
        <x:v>Research C / patient complaints and identification failures</x:v>
      </x:c>
      <x:c r="D423" s="19" t="str">
        <x:v>evidence_item</x:v>
      </x:c>
      <x:c r="E423" s="19" t="str">
        <x:v>E010</x:v>
      </x:c>
      <x:c r="F423" s="19" t="str">
        <x:v>S013</x:v>
      </x:c>
      <x:c r="G423" s="19" t="str">
        <x:v>Delayed diagnosis of cancer due to missed histology results</x:v>
      </x:c>
      <x:c r="H423" s="19" t="str">
        <x:v>https://www.hdc.org.nz/decisions/search-decisions/2025/22hdc02105/</x:v>
      </x:c>
      <x:c r="I423" s="19" t="str">
        <x:v>New Zealand</x:v>
      </x:c>
      <x:c r="J423" s="19" t="str">
        <x:v>secondary public hospital / shared clinical information system</x:v>
      </x:c>
      <x:c r="K423" s="19" t="str">
        <x:v>abnormal result not followed up</x:v>
      </x:c>
      <x:c r="L423" s="19" t="str">
        <x:v>prostate cancer</x:v>
      </x:c>
      <x:c r="M423" s="19" t="str">
        <x:v>abnormal result not followed up</x:v>
      </x:c>
      <x:c r="N423" s="19" t="str">
        <x:v>Result ownership failure.</x:v>
      </x:c>
      <x:c r="O423" s="19" t="str">
        <x:v>Staff did not understand shared clinical information system; result not actioned.</x:v>
      </x:c>
      <x:c r="P423" s="19" t="str">
        <x:v>Cancer diagnosis delayed.</x:v>
      </x:c>
      <x:c r="Q423" s="19" t="str"/>
      <x:c r="R423" s="19" t="str">
        <x:v>Assign owner, backup, due date, patient notification.</x:v>
      </x:c>
      <x:c r="S423" s="19" t="str">
        <x:v>high</x:v>
      </x:c>
      <x:c r="T423" s="19" t="str">
        <x:v>02_extracted_evidence/evidence_items.csv</x:v>
      </x:c>
      <x:c r="U423" s="19" t="str">
        <x:v>research_evidence_package_patient_complaints_identification_failures_2026-05-30.tar.gz::02_extracted_evidence/evidence_items.csv::E010</x:v>
      </x:c>
    </x:row>
    <x:row r="424">
      <x:c r="A424" s="19" t="str">
        <x:v>C_complaints</x:v>
      </x:c>
      <x:c r="B424" s="19" t="str">
        <x:v>research_evidence_package_patient_complaints_identification_failures_2026-05-30.tar.gz</x:v>
      </x:c>
      <x:c r="C424" s="19" t="str">
        <x:v>Research C / patient complaints and identification failures</x:v>
      </x:c>
      <x:c r="D424" s="19" t="str">
        <x:v>evidence_item</x:v>
      </x:c>
      <x:c r="E424" s="19" t="str">
        <x:v>E011</x:v>
      </x:c>
      <x:c r="F424" s="19" t="str">
        <x:v>S014</x:v>
      </x:c>
      <x:c r="G424" s="19" t="str">
        <x:v>Management of abnormal test result</x:v>
      </x:c>
      <x:c r="H424" s="19" t="str">
        <x:v>https://www.hdc.org.nz/decisions/search-decisions/2012/10hdc01419/</x:v>
      </x:c>
      <x:c r="I424" s="19" t="str">
        <x:v>New Zealand</x:v>
      </x:c>
      <x:c r="J424" s="19" t="str">
        <x:v>primary care</x:v>
      </x:c>
      <x:c r="K424" s="19" t="str">
        <x:v>abnormal result not followed up</x:v>
      </x:c>
      <x:c r="L424" s="19" t="str">
        <x:v>possible monoclonal gammopathy / myeloma signal</x:v>
      </x:c>
      <x:c r="M424" s="19" t="str">
        <x:v>abnormal result not followed up</x:v>
      </x:c>
      <x:c r="N424" s="19" t="str">
        <x:v>Marked/filed is not equivalent to closed.</x:v>
      </x:c>
      <x:c r="O424" s="19" t="str">
        <x:v>GP marked result but did not inform patient or arrange follow-up.</x:v>
      </x:c>
      <x:c r="P424" s="19" t="str">
        <x:v>Abnormal result not acted on.</x:v>
      </x:c>
      <x:c r="Q424" s="19" t="str"/>
      <x:c r="R424" s="19" t="str">
        <x:v>Require action and patient notification before closure.</x:v>
      </x:c>
      <x:c r="S424" s="19" t="str">
        <x:v>high</x:v>
      </x:c>
      <x:c r="T424" s="19" t="str">
        <x:v>02_extracted_evidence/evidence_items.csv</x:v>
      </x:c>
      <x:c r="U424" s="19" t="str">
        <x:v>research_evidence_package_patient_complaints_identification_failures_2026-05-30.tar.gz::02_extracted_evidence/evidence_items.csv::E011</x:v>
      </x:c>
    </x:row>
    <x:row r="425">
      <x:c r="A425" s="19" t="str">
        <x:v>C_complaints</x:v>
      </x:c>
      <x:c r="B425" s="19" t="str">
        <x:v>research_evidence_package_patient_complaints_identification_failures_2026-05-30.tar.gz</x:v>
      </x:c>
      <x:c r="C425" s="19" t="str">
        <x:v>Research C / patient complaints and identification failures</x:v>
      </x:c>
      <x:c r="D425" s="19" t="str">
        <x:v>evidence_item</x:v>
      </x:c>
      <x:c r="E425" s="19" t="str">
        <x:v>E012</x:v>
      </x:c>
      <x:c r="F425" s="19" t="str">
        <x:v>S018</x:v>
      </x:c>
      <x:c r="G425" s="19" t="str">
        <x:v>Taya’s Story</x:v>
      </x:c>
      <x:c r="H425" s="19" t="str">
        <x:v>https://www.endometriosis-uk.org/tayas-story</x:v>
      </x:c>
      <x:c r="I425" s="19" t="str">
        <x:v>UK</x:v>
      </x:c>
      <x:c r="J425" s="19" t="str">
        <x:v>GP to specialist gynecology</x:v>
      </x:c>
      <x:c r="K425" s="19" t="str">
        <x:v>gendered dismissal</x:v>
      </x:c>
      <x:c r="L425" s="19" t="str">
        <x:v>endometriosis</x:v>
      </x:c>
      <x:c r="M425" s="19" t="str">
        <x:v>gendered dismissal</x:v>
      </x:c>
      <x:c r="N425" s="19" t="str">
        <x:v>Patient self-documentation burden.</x:v>
      </x:c>
      <x:c r="O425" s="19" t="str">
        <x:v>First specialist belittled concern and pushed hormones; later consultant agreed to diagnosis-first.</x:v>
      </x:c>
      <x:c r="P425" s="19" t="str">
        <x:v>Endometriosis found by laparoscopy.</x:v>
      </x:c>
      <x:c r="Q425" s="19" t="str"/>
      <x:c r="R425" s="19" t="str">
        <x:v>Bring longitudinal symptom tracker into referral review.</x:v>
      </x:c>
      <x:c r="S425" s="19" t="str">
        <x:v>medium</x:v>
      </x:c>
      <x:c r="T425" s="19" t="str">
        <x:v>02_extracted_evidence/evidence_items.csv</x:v>
      </x:c>
      <x:c r="U425" s="19" t="str">
        <x:v>research_evidence_package_patient_complaints_identification_failures_2026-05-30.tar.gz::02_extracted_evidence/evidence_items.csv::E012</x:v>
      </x:c>
    </x:row>
    <x:row r="426">
      <x:c r="A426" s="19" t="str">
        <x:v>C_complaints</x:v>
      </x:c>
      <x:c r="B426" s="19" t="str">
        <x:v>research_evidence_package_patient_complaints_identification_failures_2026-05-30.tar.gz</x:v>
      </x:c>
      <x:c r="C426" s="19" t="str">
        <x:v>Research C / patient complaints and identification failures</x:v>
      </x:c>
      <x:c r="D426" s="19" t="str">
        <x:v>evidence_item</x:v>
      </x:c>
      <x:c r="E426" s="19" t="str">
        <x:v>E013</x:v>
      </x:c>
      <x:c r="F426" s="19" t="str">
        <x:v>S019</x:v>
      </x:c>
      <x:c r="G426" s="19" t="str">
        <x:v>Orla’s Story</x:v>
      </x:c>
      <x:c r="H426" s="19" t="str">
        <x:v>https://www.endometriosis-uk.org/orlas-story</x:v>
      </x:c>
      <x:c r="I426" s="19" t="str">
        <x:v>UK</x:v>
      </x:c>
      <x:c r="J426" s="19" t="str">
        <x:v>primary care, fertility clinic, gynecology</x:v>
      </x:c>
      <x:c r="K426" s="19" t="str">
        <x:v>normalization</x:v>
      </x:c>
      <x:c r="L426" s="19" t="str">
        <x:v>severe endometriosis and adenomyosis</x:v>
      </x:c>
      <x:c r="M426" s="19" t="str">
        <x:v>normalization</x:v>
      </x:c>
      <x:c r="N426" s="19" t="str">
        <x:v>Function loss treated as normal.</x:v>
      </x:c>
      <x:c r="O426" s="19" t="str">
        <x:v>GP reportedly normalized symptoms and delayed referral.</x:v>
      </x:c>
      <x:c r="P426" s="19" t="str">
        <x:v>Severe endometriosis/adenomyosis diagnosed later.</x:v>
      </x:c>
      <x:c r="Q426" s="19" t="str"/>
      <x:c r="R426" s="19" t="str">
        <x:v>Use school/work absence and function loss as severity triggers.</x:v>
      </x:c>
      <x:c r="S426" s="19" t="str">
        <x:v>medium</x:v>
      </x:c>
      <x:c r="T426" s="19" t="str">
        <x:v>02_extracted_evidence/evidence_items.csv</x:v>
      </x:c>
      <x:c r="U426" s="19" t="str">
        <x:v>research_evidence_package_patient_complaints_identification_failures_2026-05-30.tar.gz::02_extracted_evidence/evidence_items.csv::E013</x:v>
      </x:c>
    </x:row>
    <x:row r="427">
      <x:c r="A427" s="19" t="str">
        <x:v>C_complaints</x:v>
      </x:c>
      <x:c r="B427" s="19" t="str">
        <x:v>research_evidence_package_patient_complaints_identification_failures_2026-05-30.tar.gz</x:v>
      </x:c>
      <x:c r="C427" s="19" t="str">
        <x:v>Research C / patient complaints and identification failures</x:v>
      </x:c>
      <x:c r="D427" s="19" t="str">
        <x:v>evidence_item</x:v>
      </x:c>
      <x:c r="E427" s="19" t="str">
        <x:v>E014</x:v>
      </x:c>
      <x:c r="F427" s="19" t="str">
        <x:v>S022</x:v>
      </x:c>
      <x:c r="G427" s="19" t="str">
        <x:v>Debbie Cameron, Merseyside</x:v>
      </x:c>
      <x:c r="H427" s="19" t="str">
        <x:v>https://www.bowelcanceruk.org.uk/how-we-can-help/real-life-stories/personal-experiences/debbie-cameron%2C-merseyside/</x:v>
      </x:c>
      <x:c r="I427" s="19" t="str">
        <x:v>England, UK</x:v>
      </x:c>
      <x:c r="J427" s="19" t="str">
        <x:v>primary care, screening, colonoscopy</x:v>
      </x:c>
      <x:c r="K427" s="19" t="str">
        <x:v>red flag missed</x:v>
      </x:c>
      <x:c r="L427" s="19" t="str">
        <x:v>bowel cancer</x:v>
      </x:c>
      <x:c r="M427" s="19" t="str">
        <x:v>red flag missed</x:v>
      </x:c>
      <x:c r="N427" s="19" t="str">
        <x:v>Red flag minimized.</x:v>
      </x:c>
      <x:c r="O427" s="19" t="str">
        <x:v>Multiple GP contacts attributed symptoms to IBS/piles; patient said not examined.</x:v>
      </x:c>
      <x:c r="P427" s="19" t="str">
        <x:v>Stage 3 bowel cancer diagnosed later.</x:v>
      </x:c>
      <x:c r="Q427" s="19" t="str"/>
      <x:c r="R427" s="19" t="str">
        <x:v>Rectal bleeding should trigger exam/test/referral or documented reason.</x:v>
      </x:c>
      <x:c r="S427" s="19" t="str">
        <x:v>medium</x:v>
      </x:c>
      <x:c r="T427" s="19" t="str">
        <x:v>02_extracted_evidence/evidence_items.csv</x:v>
      </x:c>
      <x:c r="U427" s="19" t="str">
        <x:v>research_evidence_package_patient_complaints_identification_failures_2026-05-30.tar.gz::02_extracted_evidence/evidence_items.csv::E014</x:v>
      </x:c>
    </x:row>
    <x:row r="428">
      <x:c r="A428" s="19" t="str">
        <x:v>C_complaints</x:v>
      </x:c>
      <x:c r="B428" s="19" t="str">
        <x:v>research_evidence_package_patient_complaints_identification_failures_2026-05-30.tar.gz</x:v>
      </x:c>
      <x:c r="C428" s="19" t="str">
        <x:v>Research C / patient complaints and identification failures</x:v>
      </x:c>
      <x:c r="D428" s="19" t="str">
        <x:v>evidence_item</x:v>
      </x:c>
      <x:c r="E428" s="19" t="str">
        <x:v>E015</x:v>
      </x:c>
      <x:c r="F428" s="19" t="str">
        <x:v>S023</x:v>
      </x:c>
      <x:c r="G428" s="19" t="str">
        <x:v>Sarah McCollum, Surrey</x:v>
      </x:c>
      <x:c r="H428" s="19" t="str">
        <x:v>https://www.bowelcanceruk.org.uk/how-we-can-help/real-life-stories/younger-people-with-bowel-cancer/sarah-mccollum-surrey/</x:v>
      </x:c>
      <x:c r="I428" s="19" t="str">
        <x:v>England, UK</x:v>
      </x:c>
      <x:c r="J428" s="19" t="str">
        <x:v>A&amp;E, gynecology, screening, colonoscopy</x:v>
      </x:c>
      <x:c r="K428" s="19" t="str">
        <x:v>wrong specialty / age bias</x:v>
      </x:c>
      <x:c r="L428" s="19" t="str">
        <x:v>rectal cancer</x:v>
      </x:c>
      <x:c r="M428" s="19" t="str">
        <x:v>wrong specialty / age bias</x:v>
      </x:c>
      <x:c r="N428" s="19" t="str">
        <x:v>Age bias and wrong specialty.</x:v>
      </x:c>
      <x:c r="O428" s="19" t="str">
        <x:v>A&amp;E reportedly dismissed cancer due to age and referred to gynecology.</x:v>
      </x:c>
      <x:c r="P428" s="19" t="str">
        <x:v>Rectal cancer identified after screening/colonoscopy.</x:v>
      </x:c>
      <x:c r="Q428" s="19" t="str"/>
      <x:c r="R428" s="19" t="str">
        <x:v>Route rectal bleeding/urgency to bowel pathway regardless of age.</x:v>
      </x:c>
      <x:c r="S428" s="19" t="str">
        <x:v>medium</x:v>
      </x:c>
      <x:c r="T428" s="19" t="str">
        <x:v>02_extracted_evidence/evidence_items.csv</x:v>
      </x:c>
      <x:c r="U428" s="19" t="str">
        <x:v>research_evidence_package_patient_complaints_identification_failures_2026-05-30.tar.gz::02_extracted_evidence/evidence_items.csv::E015</x:v>
      </x:c>
    </x:row>
    <x:row r="429">
      <x:c r="A429" s="19" t="str">
        <x:v>C_complaints</x:v>
      </x:c>
      <x:c r="B429" s="19" t="str">
        <x:v>research_evidence_package_patient_complaints_identification_failures_2026-05-30.tar.gz</x:v>
      </x:c>
      <x:c r="C429" s="19" t="str">
        <x:v>Research C / patient complaints and identification failures</x:v>
      </x:c>
      <x:c r="D429" s="19" t="str">
        <x:v>evidence_item</x:v>
      </x:c>
      <x:c r="E429" s="19" t="str">
        <x:v>E016</x:v>
      </x:c>
      <x:c r="F429" s="19" t="str">
        <x:v>S025</x:v>
      </x:c>
      <x:c r="G429" s="19" t="str">
        <x:v>22-year-old diagnosed with terminal cancer after symptoms dismissed</x:v>
      </x:c>
      <x:c r="H429" s="19" t="str">
        <x:v>https://people.com/22-year-old-diagnosed-with-terminal-cancer-after-docs-dismiss-symptoms-11855746</x:v>
      </x:c>
      <x:c r="I429" s="19" t="str">
        <x:v>England, UK</x:v>
      </x:c>
      <x:c r="J429" s="19" t="str">
        <x:v>GP, A&amp;E, imaging, oncology</x:v>
      </x:c>
      <x:c r="K429" s="19" t="str">
        <x:v>pain minimization</x:v>
      </x:c>
      <x:c r="L429" s="19" t="str">
        <x:v>stage 4 angiosarcoma</x:v>
      </x:c>
      <x:c r="M429" s="19" t="str">
        <x:v>pain minimization</x:v>
      </x:c>
      <x:c r="N429" s="19" t="str">
        <x:v>Patient felt forced to exaggerate to access imaging.</x:v>
      </x:c>
      <x:c r="O429" s="19" t="str">
        <x:v>Given analgesics/stretches; questioned for A&amp;E attendance.</x:v>
      </x:c>
      <x:c r="P429" s="19" t="str">
        <x:v>Rare metastatic cancer found after scans.</x:v>
      </x:c>
      <x:c r="Q429" s="19" t="str"/>
      <x:c r="R429" s="19" t="str">
        <x:v>Escalate severe functional impairment and repeat presentations.</x:v>
      </x:c>
      <x:c r="S429" s="19" t="str">
        <x:v>low-medium</x:v>
      </x:c>
      <x:c r="T429" s="19" t="str">
        <x:v>02_extracted_evidence/evidence_items.csv</x:v>
      </x:c>
      <x:c r="U429" s="19" t="str">
        <x:v>research_evidence_package_patient_complaints_identification_failures_2026-05-30.tar.gz::02_extracted_evidence/evidence_items.csv::E016</x:v>
      </x:c>
    </x:row>
    <x:row r="430">
      <x:c r="A430" s="19" t="str">
        <x:v>C_complaints</x:v>
      </x:c>
      <x:c r="B430" s="19" t="str">
        <x:v>research_evidence_package_patient_complaints_identification_failures_2026-05-30.tar.gz</x:v>
      </x:c>
      <x:c r="C430" s="19" t="str">
        <x:v>Research C / patient complaints and identification failures</x:v>
      </x:c>
      <x:c r="D430" s="19" t="str">
        <x:v>evidence_item</x:v>
      </x:c>
      <x:c r="E430" s="19" t="str">
        <x:v>E017</x:v>
      </x:c>
      <x:c r="F430" s="19" t="str">
        <x:v>S026</x:v>
      </x:c>
      <x:c r="G430" s="19" t="str">
        <x:v>Wrong diagnosis killing many patients in Nigerian hospitals</x:v>
      </x:c>
      <x:c r="H430" s="19" t="str">
        <x:v>https://businessday.ng/health/article/wrong-diagnosis-killing-many-patients-in-nigerian-hospitals/</x:v>
      </x:c>
      <x:c r="I430" s="19" t="str">
        <x:v>Nigeria</x:v>
      </x:c>
      <x:c r="J430" s="19" t="str">
        <x:v>clinics/hospitals, labs, gynecology</x:v>
      </x:c>
      <x:c r="K430" s="19" t="str">
        <x:v>diagnostic drift</x:v>
      </x:c>
      <x:c r="L430" s="19" t="str">
        <x:v>stage 4 cervical cancer</x:v>
      </x:c>
      <x:c r="M430" s="19" t="str">
        <x:v>diagnostic drift</x:v>
      </x:c>
      <x:c r="N430" s="19" t="str">
        <x:v>Unresolved symptoms and costs.</x:v>
      </x:c>
      <x:c r="O430" s="19" t="str">
        <x:v>Repeated infection explanations, antibiotics and inconclusive tests.</x:v>
      </x:c>
      <x:c r="P430" s="19" t="str">
        <x:v>Cervical cancer identified by biopsy.</x:v>
      </x:c>
      <x:c r="Q430" s="19" t="str"/>
      <x:c r="R430" s="19" t="str">
        <x:v>Escalate unresolved multi-system symptoms after inconclusive tests.</x:v>
      </x:c>
      <x:c r="S430" s="19" t="str">
        <x:v>low-medium</x:v>
      </x:c>
      <x:c r="T430" s="19" t="str">
        <x:v>02_extracted_evidence/evidence_items.csv</x:v>
      </x:c>
      <x:c r="U430" s="19" t="str">
        <x:v>research_evidence_package_patient_complaints_identification_failures_2026-05-30.tar.gz::02_extracted_evidence/evidence_items.csv::E017</x:v>
      </x:c>
    </x:row>
    <x:row r="431">
      <x:c r="A431" s="19" t="str">
        <x:v>C_complaints</x:v>
      </x:c>
      <x:c r="B431" s="19" t="str">
        <x:v>research_evidence_package_patient_complaints_identification_failures_2026-05-30.tar.gz</x:v>
      </x:c>
      <x:c r="C431" s="19" t="str">
        <x:v>Research C / patient complaints and identification failures</x:v>
      </x:c>
      <x:c r="D431" s="19" t="str">
        <x:v>evidence_item</x:v>
      </x:c>
      <x:c r="E431" s="19" t="str">
        <x:v>E018</x:v>
      </x:c>
      <x:c r="F431" s="19" t="str">
        <x:v>S037</x:v>
      </x:c>
      <x:c r="G431" s="19" t="str">
        <x:v>A very thorough doctor</x:v>
      </x:c>
      <x:c r="H431" s="19" t="str">
        <x:v>https://www.careopinion.org.uk/1333013</x:v>
      </x:c>
      <x:c r="I431" s="19" t="str">
        <x:v>UK</x:v>
      </x:c>
      <x:c r="J431" s="19" t="str">
        <x:v>primary care / NHS-linked review</x:v>
      </x:c>
      <x:c r="K431" s="19" t="str">
        <x:v>positive example</x:v>
      </x:c>
      <x:c r="L431" s="19" t="str">
        <x:v>unspecified symptoms/test results</x:v>
      </x:c>
      <x:c r="M431" s="19" t="str">
        <x:v>positive example</x:v>
      </x:c>
      <x:c r="N431" s="19" t="str">
        <x:v>Listening + explanation + exam create trust and safety.</x:v>
      </x:c>
      <x:c r="O431" s="19" t="str">
        <x:v>Doctor listened, explained, examined, and considered mental health differential.</x:v>
      </x:c>
      <x:c r="P431" s="19" t="str">
        <x:v>Patient felt properly assessed.</x:v>
      </x:c>
      <x:c r="Q431" s="19" t="str"/>
      <x:c r="R431" s="19" t="str">
        <x:v>Use as model workflow for assessment templates.</x:v>
      </x:c>
      <x:c r="S431" s="19" t="str">
        <x:v>medium</x:v>
      </x:c>
      <x:c r="T431" s="19" t="str">
        <x:v>02_extracted_evidence/evidence_items.csv</x:v>
      </x:c>
      <x:c r="U431" s="19" t="str">
        <x:v>research_evidence_package_patient_complaints_identification_failures_2026-05-30.tar.gz::02_extracted_evidence/evidence_items.csv::E018</x:v>
      </x:c>
    </x:row>
    <x:row r="432">
      <x:c r="A432" s="19" t="str">
        <x:v>C_complaints</x:v>
      </x:c>
      <x:c r="B432" s="19" t="str">
        <x:v>research_evidence_package_patient_complaints_identification_failures_2026-05-30.tar.gz</x:v>
      </x:c>
      <x:c r="C432" s="19" t="str">
        <x:v>Research C / patient complaints and identification failures</x:v>
      </x:c>
      <x:c r="D432" s="19" t="str">
        <x:v>case</x:v>
      </x:c>
      <x:c r="E432" s="19" t="str">
        <x:v>C001</x:v>
      </x:c>
      <x:c r="F432" s="19" t="str">
        <x:v>S001</x:v>
      </x:c>
      <x:c r="G432" s="19" t="str">
        <x:v>Aggressive and dismissive treatment</x:v>
      </x:c>
      <x:c r="H432" s="19" t="str">
        <x:v>https://www.careopinion.org.uk/1429947</x:v>
      </x:c>
      <x:c r="I432" s="19" t="str">
        <x:v>UK</x:v>
      </x:c>
      <x:c r="J432" s="19" t="str">
        <x:v>hospital / acute assessment</x:v>
      </x:c>
      <x:c r="K432" s="19" t="str">
        <x:v>doctor did not listen</x:v>
      </x:c>
      <x:c r="L432" s="19" t="str">
        <x:v>unresolved symptoms</x:v>
      </x:c>
      <x:c r="M432" s="19" t="str">
        <x:v>doctor did not listen</x:v>
      </x:c>
      <x:c r="N432" s="19" t="str">
        <x:v>Dismissed and silenced hospital assessment</x:v>
      </x:c>
      <x:c r="O432" s="19" t="str">
        <x:v>Doctor reportedly restricted history to yes/no answers.</x:v>
      </x:c>
      <x:c r="P432" s="19" t="str">
        <x:v>Patient narrative and context not captured.</x:v>
      </x:c>
      <x:c r="Q432" s="19" t="str">
        <x:v>same encounter</x:v>
      </x:c>
      <x:c r="R432" s="19" t="str">
        <x:v>Capture patient concern verbatim and flag interrupted histories.</x:v>
      </x:c>
      <x:c r="S432" s="19" t="str">
        <x:v>medium</x:v>
      </x:c>
      <x:c r="T432" s="19" t="str">
        <x:v>02_extracted_evidence/cases_or_examples.csv</x:v>
      </x:c>
      <x:c r="U432" s="19" t="str">
        <x:v>research_evidence_package_patient_complaints_identification_failures_2026-05-30.tar.gz::02_extracted_evidence/cases_or_examples.csv::C001</x:v>
      </x:c>
    </x:row>
    <x:row r="433">
      <x:c r="A433" s="19" t="str">
        <x:v>C_complaints</x:v>
      </x:c>
      <x:c r="B433" s="19" t="str">
        <x:v>research_evidence_package_patient_complaints_identification_failures_2026-05-30.tar.gz</x:v>
      </x:c>
      <x:c r="C433" s="19" t="str">
        <x:v>Research C / patient complaints and identification failures</x:v>
      </x:c>
      <x:c r="D433" s="19" t="str">
        <x:v>case</x:v>
      </x:c>
      <x:c r="E433" s="19" t="str">
        <x:v>C002</x:v>
      </x:c>
      <x:c r="F433" s="19" t="str">
        <x:v>S002</x:v>
      </x:c>
      <x:c r="G433" s="19" t="str">
        <x:v>Doctors are not listening to me</x:v>
      </x:c>
      <x:c r="H433" s="19" t="str">
        <x:v>https://www.careopinion.org.uk/1258944</x:v>
      </x:c>
      <x:c r="I433" s="19" t="str">
        <x:v>UK</x:v>
      </x:c>
      <x:c r="J433" s="19" t="str">
        <x:v>primary care</x:v>
      </x:c>
      <x:c r="K433" s="19" t="str">
        <x:v>one-symptom focus</x:v>
      </x:c>
      <x:c r="L433" s="19" t="str">
        <x:v>chronic pain, asthma symptoms, reflux</x:v>
      </x:c>
      <x:c r="M433" s="19" t="str">
        <x:v>one-symptom focus</x:v>
      </x:c>
      <x:c r="N433" s="19" t="str">
        <x:v>Autistic patient multi-issue primary care visit</x:v>
      </x:c>
      <x:c r="O433" s="19" t="str">
        <x:v>Only reflux was addressed according to patient.</x:v>
      </x:c>
      <x:c r="P433" s="19" t="str">
        <x:v>Pain medication and asthma concerns not addressed.</x:v>
      </x:c>
      <x:c r="Q433" s="19" t="str">
        <x:v>chronic pain over 10 years noted</x:v>
      </x:c>
      <x:c r="R433" s="19" t="str">
        <x:v>Require disposition for each patient-listed issue.</x:v>
      </x:c>
      <x:c r="S433" s="19" t="str">
        <x:v>medium</x:v>
      </x:c>
      <x:c r="T433" s="19" t="str">
        <x:v>02_extracted_evidence/cases_or_examples.csv</x:v>
      </x:c>
      <x:c r="U433" s="19" t="str">
        <x:v>research_evidence_package_patient_complaints_identification_failures_2026-05-30.tar.gz::02_extracted_evidence/cases_or_examples.csv::C002</x:v>
      </x:c>
    </x:row>
    <x:row r="434">
      <x:c r="A434" s="19" t="str">
        <x:v>C_complaints</x:v>
      </x:c>
      <x:c r="B434" s="19" t="str">
        <x:v>research_evidence_package_patient_complaints_identification_failures_2026-05-30.tar.gz</x:v>
      </x:c>
      <x:c r="C434" s="19" t="str">
        <x:v>Research C / patient complaints and identification failures</x:v>
      </x:c>
      <x:c r="D434" s="19" t="str">
        <x:v>case</x:v>
      </x:c>
      <x:c r="E434" s="19" t="str">
        <x:v>C003</x:v>
      </x:c>
      <x:c r="F434" s="19" t="str">
        <x:v>S003</x:v>
      </x:c>
      <x:c r="G434" s="19" t="str">
        <x:v>Left in pain and sent home with no diagnosis</x:v>
      </x:c>
      <x:c r="H434" s="19" t="str">
        <x:v>https://www.careopinion.org.uk/1117906</x:v>
      </x:c>
      <x:c r="I434" s="19" t="str">
        <x:v>Scotland, UK</x:v>
      </x:c>
      <x:c r="J434" s="19" t="str">
        <x:v>emergency department</x:v>
      </x:c>
      <x:c r="K434" s="19" t="str">
        <x:v>normal-test trap</x:v>
      </x:c>
      <x:c r="L434" s="19" t="str">
        <x:v>severe pain and breathlessness</x:v>
      </x:c>
      <x:c r="M434" s="19" t="str">
        <x:v>normal-test trap</x:v>
      </x:c>
      <x:c r="N434" s="19" t="str">
        <x:v>ED discharge after normal bloods and X-ray</x:v>
      </x:c>
      <x:c r="O434" s="19" t="str">
        <x:v>Bloods/chest X-ray considered reassuring; discharged.</x:v>
      </x:c>
      <x:c r="P434" s="19" t="str">
        <x:v>Cause of severe symptoms not identified/explained.</x:v>
      </x:c>
      <x:c r="Q434" s="19" t="str">
        <x:v>same-day ED visit</x:v>
      </x:c>
      <x:c r="R434" s="19" t="str">
        <x:v>Discharge must document unresolved symptoms and return triggers.</x:v>
      </x:c>
      <x:c r="S434" s="19" t="str">
        <x:v>medium</x:v>
      </x:c>
      <x:c r="T434" s="19" t="str">
        <x:v>02_extracted_evidence/cases_or_examples.csv</x:v>
      </x:c>
      <x:c r="U434" s="19" t="str">
        <x:v>research_evidence_package_patient_complaints_identification_failures_2026-05-30.tar.gz::02_extracted_evidence/cases_or_examples.csv::C003</x:v>
      </x:c>
    </x:row>
    <x:row r="435">
      <x:c r="A435" s="19" t="str">
        <x:v>C_complaints</x:v>
      </x:c>
      <x:c r="B435" s="19" t="str">
        <x:v>research_evidence_package_patient_complaints_identification_failures_2026-05-30.tar.gz</x:v>
      </x:c>
      <x:c r="C435" s="19" t="str">
        <x:v>Research C / patient complaints and identification failures</x:v>
      </x:c>
      <x:c r="D435" s="19" t="str">
        <x:v>case</x:v>
      </x:c>
      <x:c r="E435" s="19" t="str">
        <x:v>C004</x:v>
      </x:c>
      <x:c r="F435" s="19" t="str">
        <x:v>S004</x:v>
      </x:c>
      <x:c r="G435" s="19" t="str">
        <x:v>Dismissed an elderly person</x:v>
      </x:c>
      <x:c r="H435" s="19" t="str">
        <x:v>https://www.careopinion.org.uk/1349233</x:v>
      </x:c>
      <x:c r="I435" s="19" t="str">
        <x:v>England, UK</x:v>
      </x:c>
      <x:c r="J435" s="19" t="str">
        <x:v>A&amp;E, GP, ambulance/111</x:v>
      </x:c>
      <x:c r="K435" s="19" t="str">
        <x:v>prior cancer history missed</x:v>
      </x:c>
      <x:c r="L435" s="19" t="str">
        <x:v>spinal cancer after bowel cancer</x:v>
      </x:c>
      <x:c r="M435" s="19" t="str">
        <x:v>prior cancer history missed</x:v>
      </x:c>
      <x:c r="N435" s="19" t="str">
        <x:v>Back pain after bowel cancer dismissed as old age</x:v>
      </x:c>
      <x:c r="O435" s="19" t="str">
        <x:v>Multiple services reportedly dismissed pain as age-related.</x:v>
      </x:c>
      <x:c r="P435" s="19" t="str">
        <x:v>Spinal cancer reportedly identified late.</x:v>
      </x:c>
      <x:c r="Q435" s="19" t="str">
        <x:v>diagnosed after admission; death just over two weeks later</x:v>
      </x:c>
      <x:c r="R435" s="19" t="str">
        <x:v>Prior cancer + new focal pain should trigger recurrence/metastasis consideration.</x:v>
      </x:c>
      <x:c r="S435" s="19" t="str">
        <x:v>medium</x:v>
      </x:c>
      <x:c r="T435" s="19" t="str">
        <x:v>02_extracted_evidence/cases_or_examples.csv</x:v>
      </x:c>
      <x:c r="U435" s="19" t="str">
        <x:v>research_evidence_package_patient_complaints_identification_failures_2026-05-30.tar.gz::02_extracted_evidence/cases_or_examples.csv::C004</x:v>
      </x:c>
    </x:row>
    <x:row r="436">
      <x:c r="A436" s="19" t="str">
        <x:v>C_complaints</x:v>
      </x:c>
      <x:c r="B436" s="19" t="str">
        <x:v>research_evidence_package_patient_complaints_identification_failures_2026-05-30.tar.gz</x:v>
      </x:c>
      <x:c r="C436" s="19" t="str">
        <x:v>Research C / patient complaints and identification failures</x:v>
      </x:c>
      <x:c r="D436" s="19" t="str">
        <x:v>case</x:v>
      </x:c>
      <x:c r="E436" s="19" t="str">
        <x:v>C005</x:v>
      </x:c>
      <x:c r="F436" s="19" t="str">
        <x:v>S005</x:v>
      </x:c>
      <x:c r="G436" s="19" t="str">
        <x:v>My daughter’s experience at CAMHS</x:v>
      </x:c>
      <x:c r="H436" s="19" t="str">
        <x:v>https://www.careopinion.org.uk/176152</x:v>
      </x:c>
      <x:c r="I436" s="19" t="str">
        <x:v>Scotland, UK</x:v>
      </x:c>
      <x:c r="J436" s="19" t="str">
        <x:v>CAMHS</x:v>
      </x:c>
      <x:c r="K436" s="19" t="str">
        <x:v>family history ignored</x:v>
      </x:c>
      <x:c r="L436" s="19" t="str">
        <x:v>mood disorder / bipolar disorder</x:v>
      </x:c>
      <x:c r="M436" s="19" t="str">
        <x:v>family history ignored</x:v>
      </x:c>
      <x:c r="N436" s="19" t="str">
        <x:v>CAMHS low mood vs later bipolar diagnosis</x:v>
      </x:c>
      <x:c r="O436" s="19" t="str">
        <x:v>Initial psychiatrist reportedly dismissed family input/genetic history.</x:v>
      </x:c>
      <x:c r="P436" s="19" t="str">
        <x:v>Bipolar disorder not identified until after deterioration.</x:v>
      </x:c>
      <x:c r="Q436" s="19" t="str">
        <x:v>six months before psychiatrist change</x:v>
      </x:c>
      <x:c r="R436" s="19" t="str">
        <x:v>Structure family history and caregiver concern in mental-health assessments.</x:v>
      </x:c>
      <x:c r="S436" s="19" t="str">
        <x:v>medium</x:v>
      </x:c>
      <x:c r="T436" s="19" t="str">
        <x:v>02_extracted_evidence/cases_or_examples.csv</x:v>
      </x:c>
      <x:c r="U436" s="19" t="str">
        <x:v>research_evidence_package_patient_complaints_identification_failures_2026-05-30.tar.gz::02_extracted_evidence/cases_or_examples.csv::C005</x:v>
      </x:c>
    </x:row>
    <x:row r="437">
      <x:c r="A437" s="19" t="str">
        <x:v>C_complaints</x:v>
      </x:c>
      <x:c r="B437" s="19" t="str">
        <x:v>research_evidence_package_patient_complaints_identification_failures_2026-05-30.tar.gz</x:v>
      </x:c>
      <x:c r="C437" s="19" t="str">
        <x:v>Research C / patient complaints and identification failures</x:v>
      </x:c>
      <x:c r="D437" s="19" t="str">
        <x:v>case</x:v>
      </x:c>
      <x:c r="E437" s="19" t="str">
        <x:v>C006</x:v>
      </x:c>
      <x:c r="F437" s="19" t="str">
        <x:v>S006</x:v>
      </x:c>
      <x:c r="G437" s="19" t="str">
        <x:v>Denied ADHD referral</x:v>
      </x:c>
      <x:c r="H437" s="19" t="str">
        <x:v>https://www.careopinion.org.uk/1167674</x:v>
      </x:c>
      <x:c r="I437" s="19" t="str">
        <x:v>Scotland, UK</x:v>
      </x:c>
      <x:c r="J437" s="19" t="str">
        <x:v>primary care to mental health referral</x:v>
      </x:c>
      <x:c r="K437" s="19" t="str">
        <x:v>referral pathway failure</x:v>
      </x:c>
      <x:c r="L437" s="19" t="str">
        <x:v>suspected adult ADHD</x:v>
      </x:c>
      <x:c r="M437" s="19" t="str">
        <x:v>referral pathway failure</x:v>
      </x:c>
      <x:c r="N437" s="19" t="str">
        <x:v>Adult ADHD referral rejected without meeting patient</x:v>
      </x:c>
      <x:c r="O437" s="19" t="str">
        <x:v>Psychiatry declined assessment; later no adult pathway stated.</x:v>
      </x:c>
      <x:c r="P437" s="19" t="str">
        <x:v>Patient felt ADHD effectively ruled out without assessment.</x:v>
      </x:c>
      <x:c r="Q437" s="19" t="str">
        <x:v>eight months complaint/ombudsman pursuit noted</x:v>
      </x:c>
      <x:c r="R437" s="19" t="str">
        <x:v>Make referral outcomes transparent: no pathway vs ruled out vs more info needed.</x:v>
      </x:c>
      <x:c r="S437" s="19" t="str">
        <x:v>medium</x:v>
      </x:c>
      <x:c r="T437" s="19" t="str">
        <x:v>02_extracted_evidence/cases_or_examples.csv</x:v>
      </x:c>
      <x:c r="U437" s="19" t="str">
        <x:v>research_evidence_package_patient_complaints_identification_failures_2026-05-30.tar.gz::02_extracted_evidence/cases_or_examples.csv::C006</x:v>
      </x:c>
    </x:row>
    <x:row r="438">
      <x:c r="A438" s="19" t="str">
        <x:v>C_complaints</x:v>
      </x:c>
      <x:c r="B438" s="19" t="str">
        <x:v>research_evidence_package_patient_complaints_identification_failures_2026-05-30.tar.gz</x:v>
      </x:c>
      <x:c r="C438" s="19" t="str">
        <x:v>Research C / patient complaints and identification failures</x:v>
      </x:c>
      <x:c r="D438" s="19" t="str">
        <x:v>case</x:v>
      </x:c>
      <x:c r="E438" s="19" t="str">
        <x:v>C007</x:v>
      </x:c>
      <x:c r="F438" s="19" t="str">
        <x:v>S008</x:v>
      </x:c>
      <x:c r="G438" s="19" t="str">
        <x:v>Broken trust - clinical failings</x:v>
      </x:c>
      <x:c r="H438" s="19" t="str">
        <x:v>https://www.ombudsman.org.uk/publications/broken-trust-making-patient-safety-more-just-promise-report/broken-trust-our-casework-evidence-clinical-failings</x:v>
      </x:c>
      <x:c r="I438" s="19" t="str">
        <x:v>England, UK</x:v>
      </x:c>
      <x:c r="J438" s="19" t="str">
        <x:v>out-of-hours GP / ambulance / ED</x:v>
      </x:c>
      <x:c r="K438" s="19" t="str">
        <x:v>normal-test trap</x:v>
      </x:c>
      <x:c r="L438" s="19" t="str">
        <x:v>pulmonary embolism signs</x:v>
      </x:c>
      <x:c r="M438" s="19" t="str">
        <x:v>normal-test trap</x:v>
      </x:c>
      <x:c r="N438" s="19" t="str">
        <x:v>Pulmonary embolism missed after clear chest X-ray</x:v>
      </x:c>
      <x:c r="O438" s="19" t="str">
        <x:v>ED diagnosed pneumonia and discharged after clear chest X-ray.</x:v>
      </x:c>
      <x:c r="P438" s="19" t="str">
        <x:v>Pulmonary embolism likely missed; PE blood test not done.</x:v>
      </x:c>
      <x:c r="Q438" s="19" t="str">
        <x:v>death next day</x:v>
      </x:c>
      <x:c r="R438" s="19" t="str">
        <x:v>Flag pneumonia diagnosis + clear X-ray + PE signs mismatch.</x:v>
      </x:c>
      <x:c r="S438" s="19" t="str">
        <x:v>high</x:v>
      </x:c>
      <x:c r="T438" s="19" t="str">
        <x:v>02_extracted_evidence/cases_or_examples.csv</x:v>
      </x:c>
      <x:c r="U438" s="19" t="str">
        <x:v>research_evidence_package_patient_complaints_identification_failures_2026-05-30.tar.gz::02_extracted_evidence/cases_or_examples.csv::C007</x:v>
      </x:c>
    </x:row>
    <x:row r="439">
      <x:c r="A439" s="19" t="str">
        <x:v>C_complaints</x:v>
      </x:c>
      <x:c r="B439" s="19" t="str">
        <x:v>research_evidence_package_patient_complaints_identification_failures_2026-05-30.tar.gz</x:v>
      </x:c>
      <x:c r="C439" s="19" t="str">
        <x:v>Research C / patient complaints and identification failures</x:v>
      </x:c>
      <x:c r="D439" s="19" t="str">
        <x:v>case</x:v>
      </x:c>
      <x:c r="E439" s="19" t="str">
        <x:v>C008</x:v>
      </x:c>
      <x:c r="F439" s="19" t="str">
        <x:v>S011</x:v>
      </x:c>
      <x:c r="G439" s="19" t="str">
        <x:v>Continuity of care: delayed diagnosis in GP practices</x:v>
      </x:c>
      <x:c r="H439" s="19" t="str">
        <x:v>https://www.hssib.org.uk/patient-safety-investigations/continuity-of-care-delayed-diagnosis-in-gp-practices/investigation-report/</x:v>
      </x:c>
      <x:c r="I439" s="19" t="str">
        <x:v>England, UK</x:v>
      </x:c>
      <x:c r="J439" s="19" t="str">
        <x:v>GP, out-of-hours GP, ED, oncology</x:v>
      </x:c>
      <x:c r="K439" s="19" t="str">
        <x:v>repeat visits ignored</x:v>
      </x:c>
      <x:c r="L439" s="19" t="str">
        <x:v>metastatic male breast cancer to spine</x:v>
      </x:c>
      <x:c r="M439" s="19" t="str">
        <x:v>repeat visits ignored</x:v>
      </x:c>
      <x:c r="N439" s="19" t="str">
        <x:v>Brian continuity-of-care delayed metastatic cancer diagnosis</x:v>
      </x:c>
      <x:c r="O439" s="19" t="str">
        <x:v>Multiple clinicians saw him over eight months.</x:v>
      </x:c>
      <x:c r="P439" s="19" t="str">
        <x:v>Metastatic cancer not identified until spinal lump found.</x:v>
      </x:c>
      <x:c r="Q439" s="19" t="str">
        <x:v>eight months</x:v>
      </x:c>
      <x:c r="R439" s="19" t="str">
        <x:v>Create unresolved symptom timeline across clinicians.</x:v>
      </x:c>
      <x:c r="S439" s="19" t="str">
        <x:v>high</x:v>
      </x:c>
      <x:c r="T439" s="19" t="str">
        <x:v>02_extracted_evidence/cases_or_examples.csv</x:v>
      </x:c>
      <x:c r="U439" s="19" t="str">
        <x:v>research_evidence_package_patient_complaints_identification_failures_2026-05-30.tar.gz::02_extracted_evidence/cases_or_examples.csv::C008</x:v>
      </x:c>
    </x:row>
    <x:row r="440">
      <x:c r="A440" s="19" t="str">
        <x:v>C_complaints</x:v>
      </x:c>
      <x:c r="B440" s="19" t="str">
        <x:v>research_evidence_package_patient_complaints_identification_failures_2026-05-30.tar.gz</x:v>
      </x:c>
      <x:c r="C440" s="19" t="str">
        <x:v>Research C / patient complaints and identification failures</x:v>
      </x:c>
      <x:c r="D440" s="19" t="str">
        <x:v>case</x:v>
      </x:c>
      <x:c r="E440" s="19" t="str">
        <x:v>C009</x:v>
      </x:c>
      <x:c r="F440" s="19" t="str">
        <x:v>S012</x:v>
      </x:c>
      <x:c r="G440" s="19" t="str">
        <x:v>Delayed diagnosis of diabetes in a child</x:v>
      </x:c>
      <x:c r="H440" s="19" t="str">
        <x:v>https://www.hdc.org.nz/decisions/search-decisions/2023/20hdc02300/</x:v>
      </x:c>
      <x:c r="I440" s="19" t="str">
        <x:v>New Zealand</x:v>
      </x:c>
      <x:c r="J440" s="19" t="str">
        <x:v>primary care</x:v>
      </x:c>
      <x:c r="K440" s="19" t="str">
        <x:v>test not integrated</x:v>
      </x:c>
      <x:c r="L440" s="19" t="str">
        <x:v>diabetes in child</x:v>
      </x:c>
      <x:c r="M440" s="19" t="str">
        <x:v>test not integrated</x:v>
      </x:c>
      <x:c r="N440" s="19" t="str">
        <x:v>Child diabetes delayed despite urinalysis</x:v>
      </x:c>
      <x:c r="O440" s="19" t="str">
        <x:v>Urinalysis did not lead to timely diagnosis.</x:v>
      </x:c>
      <x:c r="P440" s="19" t="str">
        <x:v>Diabetes not promptly identified.</x:v>
      </x:c>
      <x:c r="Q440" s="19" t="str">
        <x:v>unknown</x:v>
      </x:c>
      <x:c r="R440" s="19" t="str">
        <x:v>Abnormal point-of-care results should interrupt clinician workflow.</x:v>
      </x:c>
      <x:c r="S440" s="19" t="str">
        <x:v>high</x:v>
      </x:c>
      <x:c r="T440" s="19" t="str">
        <x:v>02_extracted_evidence/cases_or_examples.csv</x:v>
      </x:c>
      <x:c r="U440" s="19" t="str">
        <x:v>research_evidence_package_patient_complaints_identification_failures_2026-05-30.tar.gz::02_extracted_evidence/cases_or_examples.csv::C009</x:v>
      </x:c>
    </x:row>
    <x:row r="441">
      <x:c r="A441" s="19" t="str">
        <x:v>C_complaints</x:v>
      </x:c>
      <x:c r="B441" s="19" t="str">
        <x:v>research_evidence_package_patient_complaints_identification_failures_2026-05-30.tar.gz</x:v>
      </x:c>
      <x:c r="C441" s="19" t="str">
        <x:v>Research C / patient complaints and identification failures</x:v>
      </x:c>
      <x:c r="D441" s="19" t="str">
        <x:v>case</x:v>
      </x:c>
      <x:c r="E441" s="19" t="str">
        <x:v>C010</x:v>
      </x:c>
      <x:c r="F441" s="19" t="str">
        <x:v>S013</x:v>
      </x:c>
      <x:c r="G441" s="19" t="str">
        <x:v>Delayed diagnosis of cancer due to missed histology results</x:v>
      </x:c>
      <x:c r="H441" s="19" t="str">
        <x:v>https://www.hdc.org.nz/decisions/search-decisions/2025/22hdc02105/</x:v>
      </x:c>
      <x:c r="I441" s="19" t="str">
        <x:v>New Zealand</x:v>
      </x:c>
      <x:c r="J441" s="19" t="str">
        <x:v>secondary public hospital / shared clinical information system</x:v>
      </x:c>
      <x:c r="K441" s="19" t="str">
        <x:v>abnormal result not followed up</x:v>
      </x:c>
      <x:c r="L441" s="19" t="str">
        <x:v>prostate cancer</x:v>
      </x:c>
      <x:c r="M441" s="19" t="str">
        <x:v>abnormal result not followed up</x:v>
      </x:c>
      <x:c r="N441" s="19" t="str">
        <x:v>Positive prostate cancer histology not actioned</x:v>
      </x:c>
      <x:c r="O441" s="19" t="str">
        <x:v>Staff did not understand shared clinical information system; result not actioned.</x:v>
      </x:c>
      <x:c r="P441" s="19" t="str">
        <x:v>Cancer diagnosis delayed.</x:v>
      </x:c>
      <x:c r="Q441" s="19" t="str">
        <x:v>about six months</x:v>
      </x:c>
      <x:c r="R441" s="19" t="str">
        <x:v>Assign owner, backup, due date, patient notification.</x:v>
      </x:c>
      <x:c r="S441" s="19" t="str">
        <x:v>high</x:v>
      </x:c>
      <x:c r="T441" s="19" t="str">
        <x:v>02_extracted_evidence/cases_or_examples.csv</x:v>
      </x:c>
      <x:c r="U441" s="19" t="str">
        <x:v>research_evidence_package_patient_complaints_identification_failures_2026-05-30.tar.gz::02_extracted_evidence/cases_or_examples.csv::C010</x:v>
      </x:c>
    </x:row>
    <x:row r="442">
      <x:c r="A442" s="19" t="str">
        <x:v>C_complaints</x:v>
      </x:c>
      <x:c r="B442" s="19" t="str">
        <x:v>research_evidence_package_patient_complaints_identification_failures_2026-05-30.tar.gz</x:v>
      </x:c>
      <x:c r="C442" s="19" t="str">
        <x:v>Research C / patient complaints and identification failures</x:v>
      </x:c>
      <x:c r="D442" s="19" t="str">
        <x:v>case</x:v>
      </x:c>
      <x:c r="E442" s="19" t="str">
        <x:v>C011</x:v>
      </x:c>
      <x:c r="F442" s="19" t="str">
        <x:v>S014</x:v>
      </x:c>
      <x:c r="G442" s="19" t="str">
        <x:v>Management of abnormal test result</x:v>
      </x:c>
      <x:c r="H442" s="19" t="str">
        <x:v>https://www.hdc.org.nz/decisions/search-decisions/2012/10hdc01419/</x:v>
      </x:c>
      <x:c r="I442" s="19" t="str">
        <x:v>New Zealand</x:v>
      </x:c>
      <x:c r="J442" s="19" t="str">
        <x:v>primary care</x:v>
      </x:c>
      <x:c r="K442" s="19" t="str">
        <x:v>abnormal result not followed up</x:v>
      </x:c>
      <x:c r="L442" s="19" t="str">
        <x:v>possible monoclonal gammopathy / myeloma signal</x:v>
      </x:c>
      <x:c r="M442" s="19" t="str">
        <x:v>abnormal result not followed up</x:v>
      </x:c>
      <x:c r="N442" s="19" t="str">
        <x:v>Abnormal Bence Jones protein result not followed up</x:v>
      </x:c>
      <x:c r="O442" s="19" t="str">
        <x:v>GP marked result but did not inform patient or arrange follow-up.</x:v>
      </x:c>
      <x:c r="P442" s="19" t="str">
        <x:v>Abnormal result not acted on.</x:v>
      </x:c>
      <x:c r="Q442" s="19" t="str">
        <x:v>unknown</x:v>
      </x:c>
      <x:c r="R442" s="19" t="str">
        <x:v>Require action and patient notification before closure.</x:v>
      </x:c>
      <x:c r="S442" s="19" t="str">
        <x:v>high</x:v>
      </x:c>
      <x:c r="T442" s="19" t="str">
        <x:v>02_extracted_evidence/cases_or_examples.csv</x:v>
      </x:c>
      <x:c r="U442" s="19" t="str">
        <x:v>research_evidence_package_patient_complaints_identification_failures_2026-05-30.tar.gz::02_extracted_evidence/cases_or_examples.csv::C011</x:v>
      </x:c>
    </x:row>
    <x:row r="443">
      <x:c r="A443" s="19" t="str">
        <x:v>C_complaints</x:v>
      </x:c>
      <x:c r="B443" s="19" t="str">
        <x:v>research_evidence_package_patient_complaints_identification_failures_2026-05-30.tar.gz</x:v>
      </x:c>
      <x:c r="C443" s="19" t="str">
        <x:v>Research C / patient complaints and identification failures</x:v>
      </x:c>
      <x:c r="D443" s="19" t="str">
        <x:v>case</x:v>
      </x:c>
      <x:c r="E443" s="19" t="str">
        <x:v>C012</x:v>
      </x:c>
      <x:c r="F443" s="19" t="str">
        <x:v>S018</x:v>
      </x:c>
      <x:c r="G443" s="19" t="str">
        <x:v>Taya’s Story</x:v>
      </x:c>
      <x:c r="H443" s="19" t="str">
        <x:v>https://www.endometriosis-uk.org/tayas-story</x:v>
      </x:c>
      <x:c r="I443" s="19" t="str">
        <x:v>UK</x:v>
      </x:c>
      <x:c r="J443" s="19" t="str">
        <x:v>GP to specialist gynecology</x:v>
      </x:c>
      <x:c r="K443" s="19" t="str">
        <x:v>gendered dismissal</x:v>
      </x:c>
      <x:c r="L443" s="19" t="str">
        <x:v>endometriosis</x:v>
      </x:c>
      <x:c r="M443" s="19" t="str">
        <x:v>gendered dismissal</x:v>
      </x:c>
      <x:c r="N443" s="19" t="str">
        <x:v>Endometriosis referral dismissed, later diagnosed</x:v>
      </x:c>
      <x:c r="O443" s="19" t="str">
        <x:v>First specialist belittled concern and pushed hormones; later consultant agreed to diagnosis-first.</x:v>
      </x:c>
      <x:c r="P443" s="19" t="str">
        <x:v>Endometriosis found by laparoscopy.</x:v>
      </x:c>
      <x:c r="Q443" s="19" t="str">
        <x:v>nearly 11 years symptom tracking</x:v>
      </x:c>
      <x:c r="R443" s="19" t="str">
        <x:v>Bring longitudinal symptom tracker into referral review.</x:v>
      </x:c>
      <x:c r="S443" s="19" t="str">
        <x:v>medium</x:v>
      </x:c>
      <x:c r="T443" s="19" t="str">
        <x:v>02_extracted_evidence/cases_or_examples.csv</x:v>
      </x:c>
      <x:c r="U443" s="19" t="str">
        <x:v>research_evidence_package_patient_complaints_identification_failures_2026-05-30.tar.gz::02_extracted_evidence/cases_or_examples.csv::C012</x:v>
      </x:c>
    </x:row>
    <x:row r="444">
      <x:c r="A444" s="19" t="str">
        <x:v>C_complaints</x:v>
      </x:c>
      <x:c r="B444" s="19" t="str">
        <x:v>research_evidence_package_patient_complaints_identification_failures_2026-05-30.tar.gz</x:v>
      </x:c>
      <x:c r="C444" s="19" t="str">
        <x:v>Research C / patient complaints and identification failures</x:v>
      </x:c>
      <x:c r="D444" s="19" t="str">
        <x:v>case</x:v>
      </x:c>
      <x:c r="E444" s="19" t="str">
        <x:v>C013</x:v>
      </x:c>
      <x:c r="F444" s="19" t="str">
        <x:v>S019</x:v>
      </x:c>
      <x:c r="G444" s="19" t="str">
        <x:v>Orla’s Story</x:v>
      </x:c>
      <x:c r="H444" s="19" t="str">
        <x:v>https://www.endometriosis-uk.org/orlas-story</x:v>
      </x:c>
      <x:c r="I444" s="19" t="str">
        <x:v>UK</x:v>
      </x:c>
      <x:c r="J444" s="19" t="str">
        <x:v>primary care, fertility clinic, gynecology</x:v>
      </x:c>
      <x:c r="K444" s="19" t="str">
        <x:v>normalization</x:v>
      </x:c>
      <x:c r="L444" s="19" t="str">
        <x:v>severe endometriosis and adenomyosis</x:v>
      </x:c>
      <x:c r="M444" s="19" t="str">
        <x:v>normalization</x:v>
      </x:c>
      <x:c r="N444" s="19" t="str">
        <x:v>Severe adolescent symptoms normalized before endometriosis diagnosis</x:v>
      </x:c>
      <x:c r="O444" s="19" t="str">
        <x:v>GP reportedly normalized symptoms and delayed referral.</x:v>
      </x:c>
      <x:c r="P444" s="19" t="str">
        <x:v>Severe endometriosis/adenomyosis diagnosed later.</x:v>
      </x:c>
      <x:c r="Q444" s="19" t="str">
        <x:v>roughly 9 years</x:v>
      </x:c>
      <x:c r="R444" s="19" t="str">
        <x:v>Use school/work absence and function loss as severity triggers.</x:v>
      </x:c>
      <x:c r="S444" s="19" t="str">
        <x:v>medium</x:v>
      </x:c>
      <x:c r="T444" s="19" t="str">
        <x:v>02_extracted_evidence/cases_or_examples.csv</x:v>
      </x:c>
      <x:c r="U444" s="19" t="str">
        <x:v>research_evidence_package_patient_complaints_identification_failures_2026-05-30.tar.gz::02_extracted_evidence/cases_or_examples.csv::C013</x:v>
      </x:c>
    </x:row>
    <x:row r="445">
      <x:c r="A445" s="19" t="str">
        <x:v>C_complaints</x:v>
      </x:c>
      <x:c r="B445" s="19" t="str">
        <x:v>research_evidence_package_patient_complaints_identification_failures_2026-05-30.tar.gz</x:v>
      </x:c>
      <x:c r="C445" s="19" t="str">
        <x:v>Research C / patient complaints and identification failures</x:v>
      </x:c>
      <x:c r="D445" s="19" t="str">
        <x:v>case</x:v>
      </x:c>
      <x:c r="E445" s="19" t="str">
        <x:v>C014</x:v>
      </x:c>
      <x:c r="F445" s="19" t="str">
        <x:v>S022</x:v>
      </x:c>
      <x:c r="G445" s="19" t="str">
        <x:v>Debbie Cameron, Merseyside</x:v>
      </x:c>
      <x:c r="H445" s="19" t="str">
        <x:v>https://www.bowelcanceruk.org.uk/how-we-can-help/real-life-stories/personal-experiences/debbie-cameron%2C-merseyside/</x:v>
      </x:c>
      <x:c r="I445" s="19" t="str">
        <x:v>England, UK</x:v>
      </x:c>
      <x:c r="J445" s="19" t="str">
        <x:v>primary care, screening, colonoscopy</x:v>
      </x:c>
      <x:c r="K445" s="19" t="str">
        <x:v>red flag missed</x:v>
      </x:c>
      <x:c r="L445" s="19" t="str">
        <x:v>bowel cancer</x:v>
      </x:c>
      <x:c r="M445" s="19" t="str">
        <x:v>red flag missed</x:v>
      </x:c>
      <x:c r="N445" s="19" t="str">
        <x:v>Blood in stool attributed to IBS/piles before bowel cancer</x:v>
      </x:c>
      <x:c r="O445" s="19" t="str">
        <x:v>Multiple GP contacts attributed symptoms to IBS/piles; patient said not examined.</x:v>
      </x:c>
      <x:c r="P445" s="19" t="str">
        <x:v>Stage 3 bowel cancer diagnosed later.</x:v>
      </x:c>
      <x:c r="Q445" s="19" t="str">
        <x:v>about 11 months</x:v>
      </x:c>
      <x:c r="R445" s="19" t="str">
        <x:v>Rectal bleeding should trigger exam/test/referral or documented reason.</x:v>
      </x:c>
      <x:c r="S445" s="19" t="str">
        <x:v>medium</x:v>
      </x:c>
      <x:c r="T445" s="19" t="str">
        <x:v>02_extracted_evidence/cases_or_examples.csv</x:v>
      </x:c>
      <x:c r="U445" s="19" t="str">
        <x:v>research_evidence_package_patient_complaints_identification_failures_2026-05-30.tar.gz::02_extracted_evidence/cases_or_examples.csv::C014</x:v>
      </x:c>
    </x:row>
    <x:row r="446">
      <x:c r="A446" s="19" t="str">
        <x:v>C_complaints</x:v>
      </x:c>
      <x:c r="B446" s="19" t="str">
        <x:v>research_evidence_package_patient_complaints_identification_failures_2026-05-30.tar.gz</x:v>
      </x:c>
      <x:c r="C446" s="19" t="str">
        <x:v>Research C / patient complaints and identification failures</x:v>
      </x:c>
      <x:c r="D446" s="19" t="str">
        <x:v>case</x:v>
      </x:c>
      <x:c r="E446" s="19" t="str">
        <x:v>C015</x:v>
      </x:c>
      <x:c r="F446" s="19" t="str">
        <x:v>S023</x:v>
      </x:c>
      <x:c r="G446" s="19" t="str">
        <x:v>Sarah McCollum, Surrey</x:v>
      </x:c>
      <x:c r="H446" s="19" t="str">
        <x:v>https://www.bowelcanceruk.org.uk/how-we-can-help/real-life-stories/younger-people-with-bowel-cancer/sarah-mccollum-surrey/</x:v>
      </x:c>
      <x:c r="I446" s="19" t="str">
        <x:v>England, UK</x:v>
      </x:c>
      <x:c r="J446" s="19" t="str">
        <x:v>A&amp;E, gynecology, screening, colonoscopy</x:v>
      </x:c>
      <x:c r="K446" s="19" t="str">
        <x:v>wrong specialty / age bias</x:v>
      </x:c>
      <x:c r="L446" s="19" t="str">
        <x:v>rectal cancer</x:v>
      </x:c>
      <x:c r="M446" s="19" t="str">
        <x:v>wrong specialty / age bias</x:v>
      </x:c>
      <x:c r="N446" s="19" t="str">
        <x:v>Young bowel cancer patient sent through wrong specialty loop</x:v>
      </x:c>
      <x:c r="O446" s="19" t="str">
        <x:v>A&amp;E reportedly dismissed cancer due to age and referred to gynecology.</x:v>
      </x:c>
      <x:c r="P446" s="19" t="str">
        <x:v>Rectal cancer identified after screening/colonoscopy.</x:v>
      </x:c>
      <x:c r="Q446" s="19" t="str">
        <x:v>symptoms worsened over three months</x:v>
      </x:c>
      <x:c r="R446" s="19" t="str">
        <x:v>Route rectal bleeding/urgency to bowel pathway regardless of age.</x:v>
      </x:c>
      <x:c r="S446" s="19" t="str">
        <x:v>medium</x:v>
      </x:c>
      <x:c r="T446" s="19" t="str">
        <x:v>02_extracted_evidence/cases_or_examples.csv</x:v>
      </x:c>
      <x:c r="U446" s="19" t="str">
        <x:v>research_evidence_package_patient_complaints_identification_failures_2026-05-30.tar.gz::02_extracted_evidence/cases_or_examples.csv::C015</x:v>
      </x:c>
    </x:row>
    <x:row r="447">
      <x:c r="A447" s="19" t="str">
        <x:v>C_complaints</x:v>
      </x:c>
      <x:c r="B447" s="19" t="str">
        <x:v>research_evidence_package_patient_complaints_identification_failures_2026-05-30.tar.gz</x:v>
      </x:c>
      <x:c r="C447" s="19" t="str">
        <x:v>Research C / patient complaints and identification failures</x:v>
      </x:c>
      <x:c r="D447" s="19" t="str">
        <x:v>case</x:v>
      </x:c>
      <x:c r="E447" s="19" t="str">
        <x:v>C016</x:v>
      </x:c>
      <x:c r="F447" s="19" t="str">
        <x:v>S025</x:v>
      </x:c>
      <x:c r="G447" s="19" t="str">
        <x:v>22-year-old diagnosed with terminal cancer after symptoms dismissed</x:v>
      </x:c>
      <x:c r="H447" s="19" t="str">
        <x:v>https://people.com/22-year-old-diagnosed-with-terminal-cancer-after-docs-dismiss-symptoms-11855746</x:v>
      </x:c>
      <x:c r="I447" s="19" t="str">
        <x:v>England, UK</x:v>
      </x:c>
      <x:c r="J447" s="19" t="str">
        <x:v>GP, A&amp;E, imaging, oncology</x:v>
      </x:c>
      <x:c r="K447" s="19" t="str">
        <x:v>pain minimization</x:v>
      </x:c>
      <x:c r="L447" s="19" t="str">
        <x:v>stage 4 angiosarcoma</x:v>
      </x:c>
      <x:c r="M447" s="19" t="str">
        <x:v>pain minimization</x:v>
      </x:c>
      <x:c r="N447" s="19" t="str">
        <x:v>Severe back pain dismissed before rare cancer diagnosis</x:v>
      </x:c>
      <x:c r="O447" s="19" t="str">
        <x:v>Given analgesics/stretches; questioned for A&amp;E attendance.</x:v>
      </x:c>
      <x:c r="P447" s="19" t="str">
        <x:v>Rare metastatic cancer found after scans.</x:v>
      </x:c>
      <x:c r="Q447" s="19" t="str">
        <x:v>Nov 2024 to Apr 2025</x:v>
      </x:c>
      <x:c r="R447" s="19" t="str">
        <x:v>Escalate severe functional impairment and repeat presentations.</x:v>
      </x:c>
      <x:c r="S447" s="19" t="str">
        <x:v>low-medium</x:v>
      </x:c>
      <x:c r="T447" s="19" t="str">
        <x:v>02_extracted_evidence/cases_or_examples.csv</x:v>
      </x:c>
      <x:c r="U447" s="19" t="str">
        <x:v>research_evidence_package_patient_complaints_identification_failures_2026-05-30.tar.gz::02_extracted_evidence/cases_or_examples.csv::C016</x:v>
      </x:c>
    </x:row>
    <x:row r="448">
      <x:c r="A448" s="19" t="str">
        <x:v>C_complaints</x:v>
      </x:c>
      <x:c r="B448" s="19" t="str">
        <x:v>research_evidence_package_patient_complaints_identification_failures_2026-05-30.tar.gz</x:v>
      </x:c>
      <x:c r="C448" s="19" t="str">
        <x:v>Research C / patient complaints and identification failures</x:v>
      </x:c>
      <x:c r="D448" s="19" t="str">
        <x:v>case</x:v>
      </x:c>
      <x:c r="E448" s="19" t="str">
        <x:v>C017</x:v>
      </x:c>
      <x:c r="F448" s="19" t="str">
        <x:v>S026</x:v>
      </x:c>
      <x:c r="G448" s="19" t="str">
        <x:v>Wrong diagnosis killing many patients in Nigerian hospitals</x:v>
      </x:c>
      <x:c r="H448" s="19" t="str">
        <x:v>https://businessday.ng/health/article/wrong-diagnosis-killing-many-patients-in-nigerian-hospitals/</x:v>
      </x:c>
      <x:c r="I448" s="19" t="str">
        <x:v>Nigeria</x:v>
      </x:c>
      <x:c r="J448" s="19" t="str">
        <x:v>clinics/hospitals, labs, gynecology</x:v>
      </x:c>
      <x:c r="K448" s="19" t="str">
        <x:v>diagnostic drift</x:v>
      </x:c>
      <x:c r="L448" s="19" t="str">
        <x:v>stage 4 cervical cancer</x:v>
      </x:c>
      <x:c r="M448" s="19" t="str">
        <x:v>diagnostic drift</x:v>
      </x:c>
      <x:c r="N448" s="19" t="str">
        <x:v>Nigerian patient repeated tests before cervical cancer diagnosis</x:v>
      </x:c>
      <x:c r="O448" s="19" t="str">
        <x:v>Repeated infection explanations, antibiotics and inconclusive tests.</x:v>
      </x:c>
      <x:c r="P448" s="19" t="str">
        <x:v>Cervical cancer identified by biopsy.</x:v>
      </x:c>
      <x:c r="Q448" s="19" t="str">
        <x:v>three tough months after worsening noted</x:v>
      </x:c>
      <x:c r="R448" s="19" t="str">
        <x:v>Escalate unresolved multi-system symptoms after inconclusive tests.</x:v>
      </x:c>
      <x:c r="S448" s="19" t="str">
        <x:v>low-medium</x:v>
      </x:c>
      <x:c r="T448" s="19" t="str">
        <x:v>02_extracted_evidence/cases_or_examples.csv</x:v>
      </x:c>
      <x:c r="U448" s="19" t="str">
        <x:v>research_evidence_package_patient_complaints_identification_failures_2026-05-30.tar.gz::02_extracted_evidence/cases_or_examples.csv::C017</x:v>
      </x:c>
    </x:row>
    <x:row r="449">
      <x:c r="A449" s="19" t="str">
        <x:v>C_complaints</x:v>
      </x:c>
      <x:c r="B449" s="19" t="str">
        <x:v>research_evidence_package_patient_complaints_identification_failures_2026-05-30.tar.gz</x:v>
      </x:c>
      <x:c r="C449" s="19" t="str">
        <x:v>Research C / patient complaints and identification failures</x:v>
      </x:c>
      <x:c r="D449" s="19" t="str">
        <x:v>case</x:v>
      </x:c>
      <x:c r="E449" s="19" t="str">
        <x:v>C018</x:v>
      </x:c>
      <x:c r="F449" s="19" t="str">
        <x:v>S037</x:v>
      </x:c>
      <x:c r="G449" s="19" t="str">
        <x:v>A very thorough doctor</x:v>
      </x:c>
      <x:c r="H449" s="19" t="str">
        <x:v>https://www.careopinion.org.uk/1333013</x:v>
      </x:c>
      <x:c r="I449" s="19" t="str">
        <x:v>UK</x:v>
      </x:c>
      <x:c r="J449" s="19" t="str">
        <x:v>primary care / NHS-linked review</x:v>
      </x:c>
      <x:c r="K449" s="19" t="str">
        <x:v>positive example</x:v>
      </x:c>
      <x:c r="L449" s="19" t="str">
        <x:v>unspecified symptoms/test results</x:v>
      </x:c>
      <x:c r="M449" s="19" t="str">
        <x:v>positive example</x:v>
      </x:c>
      <x:c r="N449" s="19" t="str">
        <x:v>Thorough doctor listened and explained results</x:v>
      </x:c>
      <x:c r="O449" s="19" t="str">
        <x:v>Doctor listened, explained, examined, and considered mental health differential.</x:v>
      </x:c>
      <x:c r="P449" s="19" t="str">
        <x:v>Patient felt properly assessed.</x:v>
      </x:c>
      <x:c r="Q449" s="19" t="str">
        <x:v>same consultation</x:v>
      </x:c>
      <x:c r="R449" s="19" t="str">
        <x:v>Use as model workflow for assessment templates.</x:v>
      </x:c>
      <x:c r="S449" s="19" t="str">
        <x:v>medium</x:v>
      </x:c>
      <x:c r="T449" s="19" t="str">
        <x:v>02_extracted_evidence/cases_or_examples.csv</x:v>
      </x:c>
      <x:c r="U449" s="19" t="str">
        <x:v>research_evidence_package_patient_complaints_identification_failures_2026-05-30.tar.gz::02_extracted_evidence/cases_or_examples.csv::C018</x:v>
      </x:c>
    </x:row>
    <x:row r="450">
      <x:c r="A450" s="19" t="str">
        <x:v>C_complaints</x:v>
      </x:c>
      <x:c r="B450" s="19" t="str">
        <x:v>research_evidence_package_patient_complaints_identification_failures_2026-05-30.tar.gz</x:v>
      </x:c>
      <x:c r="C450" s="19" t="str">
        <x:v>Research C / patient complaints and identification failures</x:v>
      </x:c>
      <x:c r="D450" s="19" t="str">
        <x:v>quote</x:v>
      </x:c>
      <x:c r="E450" s="19" t="str">
        <x:v>Q001</x:v>
      </x:c>
      <x:c r="F450" s="19" t="str">
        <x:v>S001</x:v>
      </x:c>
      <x:c r="G450" s="19" t="str">
        <x:v>Aggressive and dismissive treatment</x:v>
      </x:c>
      <x:c r="H450" s="19" t="str">
        <x:v>https://www.careopinion.org.uk/1429947</x:v>
      </x:c>
      <x:c r="I450" s="19" t="str">
        <x:v>UK</x:v>
      </x:c>
      <x:c r="J450" s="19" t="str">
        <x:v>hospital / acute assessment</x:v>
      </x:c>
      <x:c r="K450" s="19" t="str">
        <x:v>dismissal during assessment</x:v>
      </x:c>
      <x:c r="L450" s="19" t="str"/>
      <x:c r="M450" s="19" t="str">
        <x:v>dismissal during assessment</x:v>
      </x:c>
      <x:c r="N450" s="19" t="str">
        <x:v>I felt completely dismissed and silenced.</x:v>
      </x:c>
      <x:c r="O450" s="19" t="str">
        <x:v>Shows patient narrative may be suppressed at the first clinician assessment.</x:v>
      </x:c>
      <x:c r="P450" s="19" t="str"/>
      <x:c r="Q450" s="19" t="str"/>
      <x:c r="R450" s="19" t="str"/>
      <x:c r="S450" s="19" t="str">
        <x:v>medium</x:v>
      </x:c>
      <x:c r="T450" s="19" t="str">
        <x:v>02_extracted_evidence/quotes.csv</x:v>
      </x:c>
      <x:c r="U450" s="19" t="str">
        <x:v>research_evidence_package_patient_complaints_identification_failures_2026-05-30.tar.gz::02_extracted_evidence/quotes.csv::Q001</x:v>
      </x:c>
    </x:row>
    <x:row r="451">
      <x:c r="A451" s="19" t="str">
        <x:v>C_complaints</x:v>
      </x:c>
      <x:c r="B451" s="19" t="str">
        <x:v>research_evidence_package_patient_complaints_identification_failures_2026-05-30.tar.gz</x:v>
      </x:c>
      <x:c r="C451" s="19" t="str">
        <x:v>Research C / patient complaints and identification failures</x:v>
      </x:c>
      <x:c r="D451" s="19" t="str">
        <x:v>quote</x:v>
      </x:c>
      <x:c r="E451" s="19" t="str">
        <x:v>Q002</x:v>
      </x:c>
      <x:c r="F451" s="19" t="str">
        <x:v>S002</x:v>
      </x:c>
      <x:c r="G451" s="19" t="str">
        <x:v>Doctors are not listening to me</x:v>
      </x:c>
      <x:c r="H451" s="19" t="str">
        <x:v>https://www.careopinion.org.uk/1258944</x:v>
      </x:c>
      <x:c r="I451" s="19" t="str">
        <x:v>UK</x:v>
      </x:c>
      <x:c r="J451" s="19" t="str">
        <x:v>primary care</x:v>
      </x:c>
      <x:c r="K451" s="19" t="str">
        <x:v>one-symptom focus</x:v>
      </x:c>
      <x:c r="L451" s="19" t="str"/>
      <x:c r="M451" s="19" t="str">
        <x:v>one-symptom focus</x:v>
      </x:c>
      <x:c r="N451" s="19" t="str">
        <x:v>They decided to only treat the acid reflux.</x:v>
      </x:c>
      <x:c r="O451" s="19" t="str">
        <x:v>Shows agenda-setting and multi-issue visit closure problem.</x:v>
      </x:c>
      <x:c r="P451" s="19" t="str"/>
      <x:c r="Q451" s="19" t="str"/>
      <x:c r="R451" s="19" t="str"/>
      <x:c r="S451" s="19" t="str">
        <x:v>medium</x:v>
      </x:c>
      <x:c r="T451" s="19" t="str">
        <x:v>02_extracted_evidence/quotes.csv</x:v>
      </x:c>
      <x:c r="U451" s="19" t="str">
        <x:v>research_evidence_package_patient_complaints_identification_failures_2026-05-30.tar.gz::02_extracted_evidence/quotes.csv::Q002</x:v>
      </x:c>
    </x:row>
    <x:row r="452">
      <x:c r="A452" s="19" t="str">
        <x:v>C_complaints</x:v>
      </x:c>
      <x:c r="B452" s="19" t="str">
        <x:v>research_evidence_package_patient_complaints_identification_failures_2026-05-30.tar.gz</x:v>
      </x:c>
      <x:c r="C452" s="19" t="str">
        <x:v>Research C / patient complaints and identification failures</x:v>
      </x:c>
      <x:c r="D452" s="19" t="str">
        <x:v>quote</x:v>
      </x:c>
      <x:c r="E452" s="19" t="str">
        <x:v>Q003</x:v>
      </x:c>
      <x:c r="F452" s="19" t="str">
        <x:v>S003</x:v>
      </x:c>
      <x:c r="G452" s="19" t="str">
        <x:v>Left in pain and sent home with no diagnosis</x:v>
      </x:c>
      <x:c r="H452" s="19" t="str">
        <x:v>https://www.careopinion.org.uk/1117906</x:v>
      </x:c>
      <x:c r="I452" s="19" t="str">
        <x:v>Scotland, UK</x:v>
      </x:c>
      <x:c r="J452" s="19" t="str">
        <x:v>emergency department</x:v>
      </x:c>
      <x:c r="K452" s="19" t="str">
        <x:v>normal-test trap</x:v>
      </x:c>
      <x:c r="L452" s="19" t="str"/>
      <x:c r="M452" s="19" t="str">
        <x:v>normal-test trap</x:v>
      </x:c>
      <x:c r="N452" s="19" t="str">
        <x:v>Still in severe pain and still have no idea.</x:v>
      </x:c>
      <x:c r="O452" s="19" t="str">
        <x:v>Shows discharge without explanation or unresolved problem plan.</x:v>
      </x:c>
      <x:c r="P452" s="19" t="str"/>
      <x:c r="Q452" s="19" t="str"/>
      <x:c r="R452" s="19" t="str"/>
      <x:c r="S452" s="19" t="str">
        <x:v>medium</x:v>
      </x:c>
      <x:c r="T452" s="19" t="str">
        <x:v>02_extracted_evidence/quotes.csv</x:v>
      </x:c>
      <x:c r="U452" s="19" t="str">
        <x:v>research_evidence_package_patient_complaints_identification_failures_2026-05-30.tar.gz::02_extracted_evidence/quotes.csv::Q003</x:v>
      </x:c>
    </x:row>
    <x:row r="453">
      <x:c r="A453" s="19" t="str">
        <x:v>C_complaints</x:v>
      </x:c>
      <x:c r="B453" s="19" t="str">
        <x:v>research_evidence_package_patient_complaints_identification_failures_2026-05-30.tar.gz</x:v>
      </x:c>
      <x:c r="C453" s="19" t="str">
        <x:v>Research C / patient complaints and identification failures</x:v>
      </x:c>
      <x:c r="D453" s="19" t="str">
        <x:v>quote</x:v>
      </x:c>
      <x:c r="E453" s="19" t="str">
        <x:v>Q004</x:v>
      </x:c>
      <x:c r="F453" s="19" t="str">
        <x:v>S004</x:v>
      </x:c>
      <x:c r="G453" s="19" t="str">
        <x:v>Dismissed an elderly person</x:v>
      </x:c>
      <x:c r="H453" s="19" t="str">
        <x:v>https://www.careopinion.org.uk/1349233</x:v>
      </x:c>
      <x:c r="I453" s="19" t="str">
        <x:v>England, UK</x:v>
      </x:c>
      <x:c r="J453" s="19" t="str">
        <x:v>A&amp;E, GP, ambulance/111</x:v>
      </x:c>
      <x:c r="K453" s="19" t="str">
        <x:v>prior cancer red flag missed</x:v>
      </x:c>
      <x:c r="L453" s="19" t="str"/>
      <x:c r="M453" s="19" t="str">
        <x:v>prior cancer red flag missed</x:v>
      </x:c>
      <x:c r="N453" s="19" t="str">
        <x:v>No one listened to us.</x:v>
      </x:c>
      <x:c r="O453" s="19" t="str">
        <x:v>Shows repeated presentations and caregiver concern not integrated.</x:v>
      </x:c>
      <x:c r="P453" s="19" t="str"/>
      <x:c r="Q453" s="19" t="str"/>
      <x:c r="R453" s="19" t="str"/>
      <x:c r="S453" s="19" t="str">
        <x:v>medium</x:v>
      </x:c>
      <x:c r="T453" s="19" t="str">
        <x:v>02_extracted_evidence/quotes.csv</x:v>
      </x:c>
      <x:c r="U453" s="19" t="str">
        <x:v>research_evidence_package_patient_complaints_identification_failures_2026-05-30.tar.gz::02_extracted_evidence/quotes.csv::Q004</x:v>
      </x:c>
    </x:row>
    <x:row r="454">
      <x:c r="A454" s="19" t="str">
        <x:v>C_complaints</x:v>
      </x:c>
      <x:c r="B454" s="19" t="str">
        <x:v>research_evidence_package_patient_complaints_identification_failures_2026-05-30.tar.gz</x:v>
      </x:c>
      <x:c r="C454" s="19" t="str">
        <x:v>Research C / patient complaints and identification failures</x:v>
      </x:c>
      <x:c r="D454" s="19" t="str">
        <x:v>quote</x:v>
      </x:c>
      <x:c r="E454" s="19" t="str">
        <x:v>Q005</x:v>
      </x:c>
      <x:c r="F454" s="19" t="str">
        <x:v>S005</x:v>
      </x:c>
      <x:c r="G454" s="19" t="str">
        <x:v>My daughter’s experience at CAMHS</x:v>
      </x:c>
      <x:c r="H454" s="19" t="str">
        <x:v>https://www.careopinion.org.uk/176152</x:v>
      </x:c>
      <x:c r="I454" s="19" t="str">
        <x:v>Scotland, UK</x:v>
      </x:c>
      <x:c r="J454" s="19" t="str">
        <x:v>CAMHS / adolescent mental health</x:v>
      </x:c>
      <x:c r="K454" s="19" t="str">
        <x:v>family history ignored</x:v>
      </x:c>
      <x:c r="L454" s="19" t="str"/>
      <x:c r="M454" s="19" t="str">
        <x:v>family history ignored</x:v>
      </x:c>
      <x:c r="N454" s="19" t="str">
        <x:v>Refused to listen properly.</x:v>
      </x:c>
      <x:c r="O454" s="19" t="str">
        <x:v>Shows caregiver and family-history signals can be excluded.</x:v>
      </x:c>
      <x:c r="P454" s="19" t="str"/>
      <x:c r="Q454" s="19" t="str"/>
      <x:c r="R454" s="19" t="str"/>
      <x:c r="S454" s="19" t="str">
        <x:v>medium</x:v>
      </x:c>
      <x:c r="T454" s="19" t="str">
        <x:v>02_extracted_evidence/quotes.csv</x:v>
      </x:c>
      <x:c r="U454" s="19" t="str">
        <x:v>research_evidence_package_patient_complaints_identification_failures_2026-05-30.tar.gz::02_extracted_evidence/quotes.csv::Q005</x:v>
      </x:c>
    </x:row>
    <x:row r="455">
      <x:c r="A455" s="19" t="str">
        <x:v>C_complaints</x:v>
      </x:c>
      <x:c r="B455" s="19" t="str">
        <x:v>research_evidence_package_patient_complaints_identification_failures_2026-05-30.tar.gz</x:v>
      </x:c>
      <x:c r="C455" s="19" t="str">
        <x:v>Research C / patient complaints and identification failures</x:v>
      </x:c>
      <x:c r="D455" s="19" t="str">
        <x:v>quote</x:v>
      </x:c>
      <x:c r="E455" s="19" t="str">
        <x:v>Q006</x:v>
      </x:c>
      <x:c r="F455" s="19" t="str">
        <x:v>S006</x:v>
      </x:c>
      <x:c r="G455" s="19" t="str">
        <x:v>Denied ADHD referral</x:v>
      </x:c>
      <x:c r="H455" s="19" t="str">
        <x:v>https://www.careopinion.org.uk/1167674</x:v>
      </x:c>
      <x:c r="I455" s="19" t="str">
        <x:v>Scotland, UK</x:v>
      </x:c>
      <x:c r="J455" s="19" t="str">
        <x:v>referral triage</x:v>
      </x:c>
      <x:c r="K455" s="19" t="str">
        <x:v>referral rejection</x:v>
      </x:c>
      <x:c r="L455" s="19" t="str"/>
      <x:c r="M455" s="19" t="str">
        <x:v>referral rejection</x:v>
      </x:c>
      <x:c r="N455" s="19" t="str">
        <x:v>Not even meeting me.</x:v>
      </x:c>
      <x:c r="O455" s="19" t="str">
        <x:v>Shows administrative triage can feel like unsupported diagnosis.</x:v>
      </x:c>
      <x:c r="P455" s="19" t="str"/>
      <x:c r="Q455" s="19" t="str"/>
      <x:c r="R455" s="19" t="str"/>
      <x:c r="S455" s="19" t="str">
        <x:v>medium</x:v>
      </x:c>
      <x:c r="T455" s="19" t="str">
        <x:v>02_extracted_evidence/quotes.csv</x:v>
      </x:c>
      <x:c r="U455" s="19" t="str">
        <x:v>research_evidence_package_patient_complaints_identification_failures_2026-05-30.tar.gz::02_extracted_evidence/quotes.csv::Q006</x:v>
      </x:c>
    </x:row>
    <x:row r="456">
      <x:c r="A456" s="19" t="str">
        <x:v>C_complaints</x:v>
      </x:c>
      <x:c r="B456" s="19" t="str">
        <x:v>research_evidence_package_patient_complaints_identification_failures_2026-05-30.tar.gz</x:v>
      </x:c>
      <x:c r="C456" s="19" t="str">
        <x:v>Research C / patient complaints and identification failures</x:v>
      </x:c>
      <x:c r="D456" s="19" t="str">
        <x:v>quote</x:v>
      </x:c>
      <x:c r="E456" s="19" t="str">
        <x:v>Q007</x:v>
      </x:c>
      <x:c r="F456" s="19" t="str">
        <x:v>S007</x:v>
      </x:c>
      <x:c r="G456" s="19" t="str">
        <x:v>Wrongfully diagnosed</x:v>
      </x:c>
      <x:c r="H456" s="19" t="str">
        <x:v>https://www.careopinion.org.uk/1378025</x:v>
      </x:c>
      <x:c r="I456" s="19" t="str">
        <x:v>England, UK</x:v>
      </x:c>
      <x:c r="J456" s="19" t="str">
        <x:v>documentation / portal</x:v>
      </x:c>
      <x:c r="K456" s="19" t="str">
        <x:v>documentation ambiguity</x:v>
      </x:c>
      <x:c r="L456" s="19" t="str"/>
      <x:c r="M456" s="19" t="str">
        <x:v>documentation ambiguity</x:v>
      </x:c>
      <x:c r="N456" s="19" t="str">
        <x:v>No one had told me initially.</x:v>
      </x:c>
      <x:c r="O456" s="19" t="str">
        <x:v>Shows patient-facing records can confuse diagnosis status.</x:v>
      </x:c>
      <x:c r="P456" s="19" t="str"/>
      <x:c r="Q456" s="19" t="str"/>
      <x:c r="R456" s="19" t="str"/>
      <x:c r="S456" s="19" t="str">
        <x:v>medium</x:v>
      </x:c>
      <x:c r="T456" s="19" t="str">
        <x:v>02_extracted_evidence/quotes.csv</x:v>
      </x:c>
      <x:c r="U456" s="19" t="str">
        <x:v>research_evidence_package_patient_complaints_identification_failures_2026-05-30.tar.gz::02_extracted_evidence/quotes.csv::Q007</x:v>
      </x:c>
    </x:row>
    <x:row r="457">
      <x:c r="A457" s="19" t="str">
        <x:v>C_complaints</x:v>
      </x:c>
      <x:c r="B457" s="19" t="str">
        <x:v>research_evidence_package_patient_complaints_identification_failures_2026-05-30.tar.gz</x:v>
      </x:c>
      <x:c r="C457" s="19" t="str">
        <x:v>Research C / patient complaints and identification failures</x:v>
      </x:c>
      <x:c r="D457" s="19" t="str">
        <x:v>quote</x:v>
      </x:c>
      <x:c r="E457" s="19" t="str">
        <x:v>Q008</x:v>
      </x:c>
      <x:c r="F457" s="19" t="str">
        <x:v>S008</x:v>
      </x:c>
      <x:c r="G457" s="19" t="str">
        <x:v>Broken trust - clinical failings</x:v>
      </x:c>
      <x:c r="H457" s="19" t="str">
        <x:v>https://www.ombudsman.org.uk/publications/broken-trust-making-patient-safety-more-just-promise-report/broken-trust-our-casework-evidence-clinical-failings</x:v>
      </x:c>
      <x:c r="I457" s="19" t="str">
        <x:v>England, UK</x:v>
      </x:c>
      <x:c r="J457" s="19" t="str">
        <x:v>out-of-hours GP / ED</x:v>
      </x:c>
      <x:c r="K457" s="19" t="str">
        <x:v>unsafe discharge</x:v>
      </x:c>
      <x:c r="L457" s="19" t="str"/>
      <x:c r="M457" s="19" t="str">
        <x:v>unsafe discharge</x:v>
      </x:c>
      <x:c r="N457" s="19" t="str">
        <x:v>He should have been in hospital.</x:v>
      </x:c>
      <x:c r="O457" s="19" t="str">
        <x:v>Shows discordance between clinical signs and discharge decision.</x:v>
      </x:c>
      <x:c r="P457" s="19" t="str"/>
      <x:c r="Q457" s="19" t="str"/>
      <x:c r="R457" s="19" t="str"/>
      <x:c r="S457" s="19" t="str">
        <x:v>high</x:v>
      </x:c>
      <x:c r="T457" s="19" t="str">
        <x:v>02_extracted_evidence/quotes.csv</x:v>
      </x:c>
      <x:c r="U457" s="19" t="str">
        <x:v>research_evidence_package_patient_complaints_identification_failures_2026-05-30.tar.gz::02_extracted_evidence/quotes.csv::Q008</x:v>
      </x:c>
    </x:row>
    <x:row r="458">
      <x:c r="A458" s="19" t="str">
        <x:v>C_complaints</x:v>
      </x:c>
      <x:c r="B458" s="19" t="str">
        <x:v>research_evidence_package_patient_complaints_identification_failures_2026-05-30.tar.gz</x:v>
      </x:c>
      <x:c r="C458" s="19" t="str">
        <x:v>Research C / patient complaints and identification failures</x:v>
      </x:c>
      <x:c r="D458" s="19" t="str">
        <x:v>quote</x:v>
      </x:c>
      <x:c r="E458" s="19" t="str">
        <x:v>Q009</x:v>
      </x:c>
      <x:c r="F458" s="19" t="str">
        <x:v>S018</x:v>
      </x:c>
      <x:c r="G458" s="19" t="str">
        <x:v>Taya’s Story</x:v>
      </x:c>
      <x:c r="H458" s="19" t="str">
        <x:v>https://www.endometriosis-uk.org/tayas-story</x:v>
      </x:c>
      <x:c r="I458" s="19" t="str">
        <x:v>UK</x:v>
      </x:c>
      <x:c r="J458" s="19" t="str">
        <x:v>specialist gynecology</x:v>
      </x:c>
      <x:c r="K458" s="19" t="str">
        <x:v>gendered dismissal</x:v>
      </x:c>
      <x:c r="L458" s="19" t="str"/>
      <x:c r="M458" s="19" t="str">
        <x:v>gendered dismissal</x:v>
      </x:c>
      <x:c r="N458" s="19" t="str">
        <x:v>Too many women worry about endometriosis.</x:v>
      </x:c>
      <x:c r="O458" s="19" t="str">
        <x:v>Shows concern about endometriosis can be minimized.</x:v>
      </x:c>
      <x:c r="P458" s="19" t="str"/>
      <x:c r="Q458" s="19" t="str"/>
      <x:c r="R458" s="19" t="str"/>
      <x:c r="S458" s="19" t="str">
        <x:v>medium</x:v>
      </x:c>
      <x:c r="T458" s="19" t="str">
        <x:v>02_extracted_evidence/quotes.csv</x:v>
      </x:c>
      <x:c r="U458" s="19" t="str">
        <x:v>research_evidence_package_patient_complaints_identification_failures_2026-05-30.tar.gz::02_extracted_evidence/quotes.csv::Q009</x:v>
      </x:c>
    </x:row>
    <x:row r="459">
      <x:c r="A459" s="19" t="str">
        <x:v>C_complaints</x:v>
      </x:c>
      <x:c r="B459" s="19" t="str">
        <x:v>research_evidence_package_patient_complaints_identification_failures_2026-05-30.tar.gz</x:v>
      </x:c>
      <x:c r="C459" s="19" t="str">
        <x:v>Research C / patient complaints and identification failures</x:v>
      </x:c>
      <x:c r="D459" s="19" t="str">
        <x:v>quote</x:v>
      </x:c>
      <x:c r="E459" s="19" t="str">
        <x:v>Q010</x:v>
      </x:c>
      <x:c r="F459" s="19" t="str">
        <x:v>S019</x:v>
      </x:c>
      <x:c r="G459" s="19" t="str">
        <x:v>Orla’s Story</x:v>
      </x:c>
      <x:c r="H459" s="19" t="str">
        <x:v>https://www.endometriosis-uk.org/orlas-story</x:v>
      </x:c>
      <x:c r="I459" s="19" t="str">
        <x:v>UK</x:v>
      </x:c>
      <x:c r="J459" s="19" t="str">
        <x:v>primary care</x:v>
      </x:c>
      <x:c r="K459" s="19" t="str">
        <x:v>normalization of symptoms</x:v>
      </x:c>
      <x:c r="L459" s="19" t="str"/>
      <x:c r="M459" s="19" t="str">
        <x:v>normalization of symptoms</x:v>
      </x:c>
      <x:c r="N459" s="19" t="str">
        <x:v>Normal part of womanhood.</x:v>
      </x:c>
      <x:c r="O459" s="19" t="str">
        <x:v>Shows severe function-impacting symptoms may be reframed as normal.</x:v>
      </x:c>
      <x:c r="P459" s="19" t="str"/>
      <x:c r="Q459" s="19" t="str"/>
      <x:c r="R459" s="19" t="str"/>
      <x:c r="S459" s="19" t="str">
        <x:v>medium</x:v>
      </x:c>
      <x:c r="T459" s="19" t="str">
        <x:v>02_extracted_evidence/quotes.csv</x:v>
      </x:c>
      <x:c r="U459" s="19" t="str">
        <x:v>research_evidence_package_patient_complaints_identification_failures_2026-05-30.tar.gz::02_extracted_evidence/quotes.csv::Q010</x:v>
      </x:c>
    </x:row>
    <x:row r="460">
      <x:c r="A460" s="19" t="str">
        <x:v>C_complaints</x:v>
      </x:c>
      <x:c r="B460" s="19" t="str">
        <x:v>research_evidence_package_patient_complaints_identification_failures_2026-05-30.tar.gz</x:v>
      </x:c>
      <x:c r="C460" s="19" t="str">
        <x:v>Research C / patient complaints and identification failures</x:v>
      </x:c>
      <x:c r="D460" s="19" t="str">
        <x:v>quote</x:v>
      </x:c>
      <x:c r="E460" s="19" t="str">
        <x:v>Q011</x:v>
      </x:c>
      <x:c r="F460" s="19" t="str">
        <x:v>S020</x:v>
      </x:c>
      <x:c r="G460" s="19" t="str">
        <x:v>Dipika’s Story</x:v>
      </x:c>
      <x:c r="H460" s="19" t="str">
        <x:v>https://www.endometriosis-uk.org/dipikas-story</x:v>
      </x:c>
      <x:c r="I460" s="19" t="str">
        <x:v>UK</x:v>
      </x:c>
      <x:c r="J460" s="19" t="str">
        <x:v>primary care to gynecology</x:v>
      </x:c>
      <x:c r="K460" s="19" t="str">
        <x:v>rare/chronic delay</x:v>
      </x:c>
      <x:c r="L460" s="19" t="str"/>
      <x:c r="M460" s="19" t="str">
        <x:v>rare/chronic delay</x:v>
      </x:c>
      <x:c r="N460" s="19" t="str">
        <x:v>Finally had answers after 27 years.</x:v>
      </x:c>
      <x:c r="O460" s="19" t="str">
        <x:v>Shows emotional relief after prolonged unresolved symptoms.</x:v>
      </x:c>
      <x:c r="P460" s="19" t="str"/>
      <x:c r="Q460" s="19" t="str"/>
      <x:c r="R460" s="19" t="str"/>
      <x:c r="S460" s="19" t="str">
        <x:v>medium</x:v>
      </x:c>
      <x:c r="T460" s="19" t="str">
        <x:v>02_extracted_evidence/quotes.csv</x:v>
      </x:c>
      <x:c r="U460" s="19" t="str">
        <x:v>research_evidence_package_patient_complaints_identification_failures_2026-05-30.tar.gz::02_extracted_evidence/quotes.csv::Q011</x:v>
      </x:c>
    </x:row>
    <x:row r="461">
      <x:c r="A461" s="19" t="str">
        <x:v>C_complaints</x:v>
      </x:c>
      <x:c r="B461" s="19" t="str">
        <x:v>research_evidence_package_patient_complaints_identification_failures_2026-05-30.tar.gz</x:v>
      </x:c>
      <x:c r="C461" s="19" t="str">
        <x:v>Research C / patient complaints and identification failures</x:v>
      </x:c>
      <x:c r="D461" s="19" t="str">
        <x:v>quote</x:v>
      </x:c>
      <x:c r="E461" s="19" t="str">
        <x:v>Q012</x:v>
      </x:c>
      <x:c r="F461" s="19" t="str">
        <x:v>S021</x:v>
      </x:c>
      <x:c r="G461" s="19" t="str">
        <x:v>Stephanie’s Story</x:v>
      </x:c>
      <x:c r="H461" s="19" t="str">
        <x:v>https://www.endometriosis-uk.org/stephanies-story-0</x:v>
      </x:c>
      <x:c r="I461" s="19" t="str">
        <x:v>UK</x:v>
      </x:c>
      <x:c r="J461" s="19" t="str">
        <x:v>A&amp;E, imaging, surgery</x:v>
      </x:c>
      <x:c r="K461" s="19" t="str">
        <x:v>diagnosis communication gap</x:v>
      </x:c>
      <x:c r="L461" s="19" t="str"/>
      <x:c r="M461" s="19" t="str">
        <x:v>diagnosis communication gap</x:v>
      </x:c>
      <x:c r="N461" s="19" t="str">
        <x:v>I wasn’t given any further information.</x:v>
      </x:c>
      <x:c r="O461" s="19" t="str">
        <x:v>Shows diagnosis label alone is insufficient for patient understanding.</x:v>
      </x:c>
      <x:c r="P461" s="19" t="str"/>
      <x:c r="Q461" s="19" t="str"/>
      <x:c r="R461" s="19" t="str"/>
      <x:c r="S461" s="19" t="str">
        <x:v>medium</x:v>
      </x:c>
      <x:c r="T461" s="19" t="str">
        <x:v>02_extracted_evidence/quotes.csv</x:v>
      </x:c>
      <x:c r="U461" s="19" t="str">
        <x:v>research_evidence_package_patient_complaints_identification_failures_2026-05-30.tar.gz::02_extracted_evidence/quotes.csv::Q012</x:v>
      </x:c>
    </x:row>
    <x:row r="462">
      <x:c r="A462" s="19" t="str">
        <x:v>C_complaints</x:v>
      </x:c>
      <x:c r="B462" s="19" t="str">
        <x:v>research_evidence_package_patient_complaints_identification_failures_2026-05-30.tar.gz</x:v>
      </x:c>
      <x:c r="C462" s="19" t="str">
        <x:v>Research C / patient complaints and identification failures</x:v>
      </x:c>
      <x:c r="D462" s="19" t="str">
        <x:v>quote</x:v>
      </x:c>
      <x:c r="E462" s="19" t="str">
        <x:v>Q013</x:v>
      </x:c>
      <x:c r="F462" s="19" t="str">
        <x:v>S022</x:v>
      </x:c>
      <x:c r="G462" s="19" t="str">
        <x:v>Debbie Cameron, Merseyside</x:v>
      </x:c>
      <x:c r="H462" s="19" t="str">
        <x:v>https://www.bowelcanceruk.org.uk/how-we-can-help/real-life-stories/personal-experiences/debbie-cameron%2C-merseyside/</x:v>
      </x:c>
      <x:c r="I462" s="19" t="str">
        <x:v>England, UK</x:v>
      </x:c>
      <x:c r="J462" s="19" t="str">
        <x:v>primary care</x:v>
      </x:c>
      <x:c r="K462" s="19" t="str">
        <x:v>red flag missed</x:v>
      </x:c>
      <x:c r="L462" s="19" t="str"/>
      <x:c r="M462" s="19" t="str">
        <x:v>red flag missed</x:v>
      </x:c>
      <x:c r="N462" s="19" t="str">
        <x:v>I wasn’t even examined.</x:v>
      </x:c>
      <x:c r="O462" s="19" t="str">
        <x:v>Shows physical exam/referral gap in bowel cancer warning symptom.</x:v>
      </x:c>
      <x:c r="P462" s="19" t="str"/>
      <x:c r="Q462" s="19" t="str"/>
      <x:c r="R462" s="19" t="str"/>
      <x:c r="S462" s="19" t="str">
        <x:v>medium</x:v>
      </x:c>
      <x:c r="T462" s="19" t="str">
        <x:v>02_extracted_evidence/quotes.csv</x:v>
      </x:c>
      <x:c r="U462" s="19" t="str">
        <x:v>research_evidence_package_patient_complaints_identification_failures_2026-05-30.tar.gz::02_extracted_evidence/quotes.csv::Q013</x:v>
      </x:c>
    </x:row>
    <x:row r="463">
      <x:c r="A463" s="19" t="str">
        <x:v>C_complaints</x:v>
      </x:c>
      <x:c r="B463" s="19" t="str">
        <x:v>research_evidence_package_patient_complaints_identification_failures_2026-05-30.tar.gz</x:v>
      </x:c>
      <x:c r="C463" s="19" t="str">
        <x:v>Research C / patient complaints and identification failures</x:v>
      </x:c>
      <x:c r="D463" s="19" t="str">
        <x:v>quote</x:v>
      </x:c>
      <x:c r="E463" s="19" t="str">
        <x:v>Q014</x:v>
      </x:c>
      <x:c r="F463" s="19" t="str">
        <x:v>S023</x:v>
      </x:c>
      <x:c r="G463" s="19" t="str">
        <x:v>Sarah McCollum, Surrey</x:v>
      </x:c>
      <x:c r="H463" s="19" t="str">
        <x:v>https://www.bowelcanceruk.org.uk/how-we-can-help/real-life-stories/younger-people-with-bowel-cancer/sarah-mccollum-surrey/</x:v>
      </x:c>
      <x:c r="I463" s="19" t="str">
        <x:v>England, UK</x:v>
      </x:c>
      <x:c r="J463" s="19" t="str">
        <x:v>A&amp;E / referral</x:v>
      </x:c>
      <x:c r="K463" s="19" t="str">
        <x:v>age bias</x:v>
      </x:c>
      <x:c r="L463" s="19" t="str"/>
      <x:c r="M463" s="19" t="str">
        <x:v>age bias</x:v>
      </x:c>
      <x:c r="N463" s="19" t="str">
        <x:v>Too young to have cancer.</x:v>
      </x:c>
      <x:c r="O463" s="19" t="str">
        <x:v>Shows age can become inappropriate rule-out.</x:v>
      </x:c>
      <x:c r="P463" s="19" t="str"/>
      <x:c r="Q463" s="19" t="str"/>
      <x:c r="R463" s="19" t="str"/>
      <x:c r="S463" s="19" t="str">
        <x:v>medium</x:v>
      </x:c>
      <x:c r="T463" s="19" t="str">
        <x:v>02_extracted_evidence/quotes.csv</x:v>
      </x:c>
      <x:c r="U463" s="19" t="str">
        <x:v>research_evidence_package_patient_complaints_identification_failures_2026-05-30.tar.gz::02_extracted_evidence/quotes.csv::Q014</x:v>
      </x:c>
    </x:row>
    <x:row r="464">
      <x:c r="A464" s="19" t="str">
        <x:v>C_complaints</x:v>
      </x:c>
      <x:c r="B464" s="19" t="str">
        <x:v>research_evidence_package_patient_complaints_identification_failures_2026-05-30.tar.gz</x:v>
      </x:c>
      <x:c r="C464" s="19" t="str">
        <x:v>Research C / patient complaints and identification failures</x:v>
      </x:c>
      <x:c r="D464" s="19" t="str">
        <x:v>quote</x:v>
      </x:c>
      <x:c r="E464" s="19" t="str">
        <x:v>Q015</x:v>
      </x:c>
      <x:c r="F464" s="19" t="str">
        <x:v>S025</x:v>
      </x:c>
      <x:c r="G464" s="19" t="str">
        <x:v>22-year-old diagnosed with terminal cancer after symptoms dismissed</x:v>
      </x:c>
      <x:c r="H464" s="19" t="str">
        <x:v>https://people.com/22-year-old-diagnosed-with-terminal-cancer-after-docs-dismiss-symptoms-11855746</x:v>
      </x:c>
      <x:c r="I464" s="19" t="str">
        <x:v>England, UK</x:v>
      </x:c>
      <x:c r="J464" s="19" t="str">
        <x:v>A&amp;E</x:v>
      </x:c>
      <x:c r="K464" s="19" t="str">
        <x:v>pain minimization</x:v>
      </x:c>
      <x:c r="L464" s="19" t="str"/>
      <x:c r="M464" s="19" t="str">
        <x:v>pain minimization</x:v>
      </x:c>
      <x:c r="N464" s="19" t="str">
        <x:v>Why would you come to A&amp;E for back pain?</x:v>
      </x:c>
      <x:c r="O464" s="19" t="str">
        <x:v>Shows functional impairment may be discounted until imaging access is forced.</x:v>
      </x:c>
      <x:c r="P464" s="19" t="str"/>
      <x:c r="Q464" s="19" t="str"/>
      <x:c r="R464" s="19" t="str"/>
      <x:c r="S464" s="19" t="str">
        <x:v>low-medium</x:v>
      </x:c>
      <x:c r="T464" s="19" t="str">
        <x:v>02_extracted_evidence/quotes.csv</x:v>
      </x:c>
      <x:c r="U464" s="19" t="str">
        <x:v>research_evidence_package_patient_complaints_identification_failures_2026-05-30.tar.gz::02_extracted_evidence/quotes.csv::Q015</x:v>
      </x:c>
    </x:row>
    <x:row r="465">
      <x:c r="A465" s="19" t="str">
        <x:v>C_complaints</x:v>
      </x:c>
      <x:c r="B465" s="19" t="str">
        <x:v>research_evidence_package_patient_complaints_identification_failures_2026-05-30.tar.gz</x:v>
      </x:c>
      <x:c r="C465" s="19" t="str">
        <x:v>Research C / patient complaints and identification failures</x:v>
      </x:c>
      <x:c r="D465" s="19" t="str">
        <x:v>quote</x:v>
      </x:c>
      <x:c r="E465" s="19" t="str">
        <x:v>Q016</x:v>
      </x:c>
      <x:c r="F465" s="19" t="str">
        <x:v>S026</x:v>
      </x:c>
      <x:c r="G465" s="19" t="str">
        <x:v>Wrong diagnosis killing many patients in Nigerian hospitals</x:v>
      </x:c>
      <x:c r="H465" s="19" t="str">
        <x:v>https://businessday.ng/health/article/wrong-diagnosis-killing-many-patients-in-nigerian-hospitals/</x:v>
      </x:c>
      <x:c r="I465" s="19" t="str">
        <x:v>Nigeria</x:v>
      </x:c>
      <x:c r="J465" s="19" t="str">
        <x:v>clinics/hospitals</x:v>
      </x:c>
      <x:c r="K465" s="19" t="str">
        <x:v>diagnostic drift</x:v>
      </x:c>
      <x:c r="L465" s="19" t="str"/>
      <x:c r="M465" s="19" t="str">
        <x:v>diagnostic drift</x:v>
      </x:c>
      <x:c r="N465" s="19" t="str">
        <x:v>I felt like I was going crazy.</x:v>
      </x:c>
      <x:c r="O465" s="19" t="str">
        <x:v>Shows emotional burden of unresolved symptoms and repeated consultations.</x:v>
      </x:c>
      <x:c r="P465" s="19" t="str"/>
      <x:c r="Q465" s="19" t="str"/>
      <x:c r="R465" s="19" t="str"/>
      <x:c r="S465" s="19" t="str">
        <x:v>low-medium</x:v>
      </x:c>
      <x:c r="T465" s="19" t="str">
        <x:v>02_extracted_evidence/quotes.csv</x:v>
      </x:c>
      <x:c r="U465" s="19" t="str">
        <x:v>research_evidence_package_patient_complaints_identification_failures_2026-05-30.tar.gz::02_extracted_evidence/quotes.csv::Q016</x:v>
      </x:c>
    </x:row>
    <x:row r="466">
      <x:c r="A466" s="19" t="str">
        <x:v>C_complaints</x:v>
      </x:c>
      <x:c r="B466" s="19" t="str">
        <x:v>research_evidence_package_patient_complaints_identification_failures_2026-05-30.tar.gz</x:v>
      </x:c>
      <x:c r="C466" s="19" t="str">
        <x:v>Research C / patient complaints and identification failures</x:v>
      </x:c>
      <x:c r="D466" s="19" t="str">
        <x:v>quote</x:v>
      </x:c>
      <x:c r="E466" s="19" t="str">
        <x:v>Q017</x:v>
      </x:c>
      <x:c r="F466" s="19" t="str">
        <x:v>S027</x:v>
      </x:c>
      <x:c r="G466" s="19" t="str">
        <x:v>Victims of wrong diagnosis, prescriptions in Kaduna, Katsina, Kano decry rot</x:v>
      </x:c>
      <x:c r="H466" s="19" t="str">
        <x:v>https://gazettengr.com/victims-of-wrong-diagnosis-prescriptions-in-kaduna-katsina-kano-decry-rot-in-nigerias-health-sector/</x:v>
      </x:c>
      <x:c r="I466" s="19" t="str">
        <x:v>Nigeria</x:v>
      </x:c>
      <x:c r="J466" s="19" t="str">
        <x:v>hospitals/labs</x:v>
      </x:c>
      <x:c r="K466" s="19" t="str">
        <x:v>low-resource trust gap</x:v>
      </x:c>
      <x:c r="L466" s="19" t="str"/>
      <x:c r="M466" s="19" t="str">
        <x:v>low-resource trust gap</x:v>
      </x:c>
      <x:c r="N466" s="19" t="str">
        <x:v>Health workers’ poor attitude is another major issue.</x:v>
      </x:c>
      <x:c r="O466" s="19" t="str">
        <x:v>Shows trust and service attitude interact with diagnostic reliability.</x:v>
      </x:c>
      <x:c r="P466" s="19" t="str"/>
      <x:c r="Q466" s="19" t="str"/>
      <x:c r="R466" s="19" t="str"/>
      <x:c r="S466" s="19" t="str">
        <x:v>low</x:v>
      </x:c>
      <x:c r="T466" s="19" t="str">
        <x:v>02_extracted_evidence/quotes.csv</x:v>
      </x:c>
      <x:c r="U466" s="19" t="str">
        <x:v>research_evidence_package_patient_complaints_identification_failures_2026-05-30.tar.gz::02_extracted_evidence/quotes.csv::Q017</x:v>
      </x:c>
    </x:row>
    <x:row r="467">
      <x:c r="A467" s="19" t="str">
        <x:v>C_complaints</x:v>
      </x:c>
      <x:c r="B467" s="19" t="str">
        <x:v>research_evidence_package_patient_complaints_identification_failures_2026-05-30.tar.gz</x:v>
      </x:c>
      <x:c r="C467" s="19" t="str">
        <x:v>Research C / patient complaints and identification failures</x:v>
      </x:c>
      <x:c r="D467" s="19" t="str">
        <x:v>quote</x:v>
      </x:c>
      <x:c r="E467" s="19" t="str">
        <x:v>Q018</x:v>
      </x:c>
      <x:c r="F467" s="19" t="str">
        <x:v>S037</x:v>
      </x:c>
      <x:c r="G467" s="19" t="str">
        <x:v>A very thorough doctor</x:v>
      </x:c>
      <x:c r="H467" s="19" t="str">
        <x:v>https://www.careopinion.org.uk/1333013</x:v>
      </x:c>
      <x:c r="I467" s="19" t="str">
        <x:v>UK</x:v>
      </x:c>
      <x:c r="J467" s="19" t="str">
        <x:v>primary care / NHS-linked review</x:v>
      </x:c>
      <x:c r="K467" s="19" t="str">
        <x:v>positive listening</x:v>
      </x:c>
      <x:c r="L467" s="19" t="str"/>
      <x:c r="M467" s="19" t="str">
        <x:v>positive listening</x:v>
      </x:c>
      <x:c r="N467" s="19" t="str">
        <x:v>Gave me time whilst he listened.</x:v>
      </x:c>
      <x:c r="O467" s="19" t="str">
        <x:v>Shows listening, explanation and exam as valued safety signals.</x:v>
      </x:c>
      <x:c r="P467" s="19" t="str"/>
      <x:c r="Q467" s="19" t="str"/>
      <x:c r="R467" s="19" t="str"/>
      <x:c r="S467" s="19" t="str">
        <x:v>medium</x:v>
      </x:c>
      <x:c r="T467" s="19" t="str">
        <x:v>02_extracted_evidence/quotes.csv</x:v>
      </x:c>
      <x:c r="U467" s="19" t="str">
        <x:v>research_evidence_package_patient_complaints_identification_failures_2026-05-30.tar.gz::02_extracted_evidence/quotes.csv::Q018</x:v>
      </x:c>
    </x:row>
    <x:row r="468">
      <x:c r="A468" s="19" t="str">
        <x:v>C_complaints</x:v>
      </x:c>
      <x:c r="B468" s="19" t="str">
        <x:v>research_evidence_package_patient_complaints_identification_failures_2026-05-30.tar.gz</x:v>
      </x:c>
      <x:c r="C468" s="19" t="str">
        <x:v>Research C / patient complaints and identification failures</x:v>
      </x:c>
      <x:c r="D468" s="19" t="str">
        <x:v>quote</x:v>
      </x:c>
      <x:c r="E468" s="19" t="str">
        <x:v>Q019</x:v>
      </x:c>
      <x:c r="F468" s="19" t="str">
        <x:v>S038</x:v>
      </x:c>
      <x:c r="G468" s="19" t="str">
        <x:v>Consultant saw me as a whole person</x:v>
      </x:c>
      <x:c r="H468" s="19" t="str">
        <x:v>https://www.careopinion.org.uk/1065736</x:v>
      </x:c>
      <x:c r="I468" s="19" t="str">
        <x:v>Northern Ireland / UK</x:v>
      </x:c>
      <x:c r="J468" s="19" t="str">
        <x:v>specialist outpatient</x:v>
      </x:c>
      <x:c r="K468" s="19" t="str">
        <x:v>whole-person care</x:v>
      </x:c>
      <x:c r="L468" s="19" t="str"/>
      <x:c r="M468" s="19" t="str">
        <x:v>whole-person care</x:v>
      </x:c>
      <x:c r="N468" s="19" t="str">
        <x:v>Whole person, not just the pain.</x:v>
      </x:c>
      <x:c r="O468" s="19" t="str">
        <x:v>Shows whole-person context can improve felt understanding.</x:v>
      </x:c>
      <x:c r="P468" s="19" t="str"/>
      <x:c r="Q468" s="19" t="str"/>
      <x:c r="R468" s="19" t="str"/>
      <x:c r="S468" s="19" t="str">
        <x:v>medium</x:v>
      </x:c>
      <x:c r="T468" s="19" t="str">
        <x:v>02_extracted_evidence/quotes.csv</x:v>
      </x:c>
      <x:c r="U468" s="19" t="str">
        <x:v>research_evidence_package_patient_complaints_identification_failures_2026-05-30.tar.gz::02_extracted_evidence/quotes.csv::Q019</x:v>
      </x:c>
    </x:row>
    <x:row r="469">
      <x:c r="A469" s="19" t="str">
        <x:v>C_complaints</x:v>
      </x:c>
      <x:c r="B469" s="19" t="str">
        <x:v>research_evidence_package_patient_complaints_identification_failures_2026-05-30.tar.gz</x:v>
      </x:c>
      <x:c r="C469" s="19" t="str">
        <x:v>Research C / patient complaints and identification failures</x:v>
      </x:c>
      <x:c r="D469" s="19" t="str">
        <x:v>quote</x:v>
      </x:c>
      <x:c r="E469" s="19" t="str">
        <x:v>Q020</x:v>
      </x:c>
      <x:c r="F469" s="19" t="str">
        <x:v>S039</x:v>
      </x:c>
      <x:c r="G469" s="19" t="str">
        <x:v>Health visitor support for postpartum depression/anxiety</x:v>
      </x:c>
      <x:c r="H469" s="19" t="str">
        <x:v>https://www.careopinion.org.uk/1328982</x:v>
      </x:c>
      <x:c r="I469" s="19" t="str">
        <x:v>Northern Ireland / UK</x:v>
      </x:c>
      <x:c r="J469" s="19" t="str">
        <x:v>home/community visit</x:v>
      </x:c>
      <x:c r="K469" s="19" t="str">
        <x:v>continuity</x:v>
      </x:c>
      <x:c r="L469" s="19" t="str"/>
      <x:c r="M469" s="19" t="str">
        <x:v>continuity</x:v>
      </x:c>
      <x:c r="N469" s="19" t="str">
        <x:v>I always felt listened to.</x:v>
      </x:c>
      <x:c r="O469" s="19" t="str">
        <x:v>Shows continuity and access are positive identification/support patterns.</x:v>
      </x:c>
      <x:c r="P469" s="19" t="str"/>
      <x:c r="Q469" s="19" t="str"/>
      <x:c r="R469" s="19" t="str"/>
      <x:c r="S469" s="19" t="str">
        <x:v>medium</x:v>
      </x:c>
      <x:c r="T469" s="19" t="str">
        <x:v>02_extracted_evidence/quotes.csv</x:v>
      </x:c>
      <x:c r="U469" s="19" t="str">
        <x:v>research_evidence_package_patient_complaints_identification_failures_2026-05-30.tar.gz::02_extracted_evidence/quotes.csv::Q020</x:v>
      </x:c>
    </x:row>
    <x:row r="470">
      <x:c r="A470" s="19" t="str">
        <x:v>C_complaints</x:v>
      </x:c>
      <x:c r="B470" s="19" t="str">
        <x:v>research_evidence_package_patient_complaints_identification_failures_2026-05-30.tar.gz</x:v>
      </x:c>
      <x:c r="C470" s="19" t="str">
        <x:v>Research C / patient complaints and identification failures</x:v>
      </x:c>
      <x:c r="D470" s="19" t="str">
        <x:v>review_or_complaint</x:v>
      </x:c>
      <x:c r="E470" s="19" t="str">
        <x:v>R001</x:v>
      </x:c>
      <x:c r="F470" s="19" t="str">
        <x:v>S001</x:v>
      </x:c>
      <x:c r="G470" s="19" t="str">
        <x:v>Aggressive and dismissive treatment</x:v>
      </x:c>
      <x:c r="H470" s="19" t="str">
        <x:v>https://www.careopinion.org.uk/1429947</x:v>
      </x:c>
      <x:c r="I470" s="19" t="str">
        <x:v>UK</x:v>
      </x:c>
      <x:c r="J470" s="19" t="str">
        <x:v>hospital / acute assessment</x:v>
      </x:c>
      <x:c r="K470" s="19" t="str">
        <x:v>unknown</x:v>
      </x:c>
      <x:c r="L470" s="19" t="str"/>
      <x:c r="M470" s="19" t="str">
        <x:v>patient experience / diagnostic identification workflow</x:v>
      </x:c>
      <x:c r="N470" s="19" t="str">
        <x:v>I felt completely dismissed and silenced.</x:v>
      </x:c>
      <x:c r="O470" s="19" t="str">
        <x:v>Patient described doctor cutting off symptom history and demanding yes/no answers.</x:v>
      </x:c>
      <x:c r="P470" s="19" t="str">
        <x:v>unknown; see linked case/evidence rows where extracted</x:v>
      </x:c>
      <x:c r="Q470" s="19" t="str"/>
      <x:c r="R470" s="19" t="str">
        <x:v>see linked quote/case product implication</x:v>
      </x:c>
      <x:c r="S470" s="19" t="str">
        <x:v>medium</x:v>
      </x:c>
      <x:c r="T470" s="19" t="str">
        <x:v>02_extracted_evidence/reviews_or_complaints.csv</x:v>
      </x:c>
      <x:c r="U470" s="19" t="str">
        <x:v>research_evidence_package_patient_complaints_identification_failures_2026-05-30.tar.gz::02_extracted_evidence/reviews_or_complaints.csv::R001</x:v>
      </x:c>
    </x:row>
    <x:row r="471">
      <x:c r="A471" s="19" t="str">
        <x:v>C_complaints</x:v>
      </x:c>
      <x:c r="B471" s="19" t="str">
        <x:v>research_evidence_package_patient_complaints_identification_failures_2026-05-30.tar.gz</x:v>
      </x:c>
      <x:c r="C471" s="19" t="str">
        <x:v>Research C / patient complaints and identification failures</x:v>
      </x:c>
      <x:c r="D471" s="19" t="str">
        <x:v>review_or_complaint</x:v>
      </x:c>
      <x:c r="E471" s="19" t="str">
        <x:v>R002</x:v>
      </x:c>
      <x:c r="F471" s="19" t="str">
        <x:v>S002</x:v>
      </x:c>
      <x:c r="G471" s="19" t="str">
        <x:v>Doctors are not listening to me</x:v>
      </x:c>
      <x:c r="H471" s="19" t="str">
        <x:v>https://www.careopinion.org.uk/1258944</x:v>
      </x:c>
      <x:c r="I471" s="19" t="str">
        <x:v>UK</x:v>
      </x:c>
      <x:c r="J471" s="19" t="str">
        <x:v>primary care</x:v>
      </x:c>
      <x:c r="K471" s="19" t="str">
        <x:v>unknown</x:v>
      </x:c>
      <x:c r="L471" s="19" t="str"/>
      <x:c r="M471" s="19" t="str">
        <x:v>patient experience / diagnostic identification workflow</x:v>
      </x:c>
      <x:c r="N471" s="19" t="str">
        <x:v>They decided to only treat the acid reflux.</x:v>
      </x:c>
      <x:c r="O471" s="19" t="str">
        <x:v>Autistic patient brought advocate and list of priorities; only reflux addressed.</x:v>
      </x:c>
      <x:c r="P471" s="19" t="str">
        <x:v>unknown; see linked case/evidence rows where extracted</x:v>
      </x:c>
      <x:c r="Q471" s="19" t="str"/>
      <x:c r="R471" s="19" t="str">
        <x:v>see linked quote/case product implication</x:v>
      </x:c>
      <x:c r="S471" s="19" t="str">
        <x:v>medium</x:v>
      </x:c>
      <x:c r="T471" s="19" t="str">
        <x:v>02_extracted_evidence/reviews_or_complaints.csv</x:v>
      </x:c>
      <x:c r="U471" s="19" t="str">
        <x:v>research_evidence_package_patient_complaints_identification_failures_2026-05-30.tar.gz::02_extracted_evidence/reviews_or_complaints.csv::R002</x:v>
      </x:c>
    </x:row>
    <x:row r="472">
      <x:c r="A472" s="19" t="str">
        <x:v>C_complaints</x:v>
      </x:c>
      <x:c r="B472" s="19" t="str">
        <x:v>research_evidence_package_patient_complaints_identification_failures_2026-05-30.tar.gz</x:v>
      </x:c>
      <x:c r="C472" s="19" t="str">
        <x:v>Research C / patient complaints and identification failures</x:v>
      </x:c>
      <x:c r="D472" s="19" t="str">
        <x:v>review_or_complaint</x:v>
      </x:c>
      <x:c r="E472" s="19" t="str">
        <x:v>R003</x:v>
      </x:c>
      <x:c r="F472" s="19" t="str">
        <x:v>S003</x:v>
      </x:c>
      <x:c r="G472" s="19" t="str">
        <x:v>Left in pain and sent home with no diagnosis</x:v>
      </x:c>
      <x:c r="H472" s="19" t="str">
        <x:v>https://www.careopinion.org.uk/1117906</x:v>
      </x:c>
      <x:c r="I472" s="19" t="str">
        <x:v>Scotland, UK</x:v>
      </x:c>
      <x:c r="J472" s="19" t="str">
        <x:v>emergency department</x:v>
      </x:c>
      <x:c r="K472" s="19" t="str">
        <x:v>unknown</x:v>
      </x:c>
      <x:c r="L472" s="19" t="str"/>
      <x:c r="M472" s="19" t="str">
        <x:v>patient experience / diagnostic identification workflow</x:v>
      </x:c>
      <x:c r="N472" s="19" t="str">
        <x:v>Still in severe pain and still have no idea.</x:v>
      </x:c>
      <x:c r="O472" s="19" t="str">
        <x:v>Patient discharged from ED after bloods and X-ray interpreted as reassuring.</x:v>
      </x:c>
      <x:c r="P472" s="19" t="str">
        <x:v>unknown; see linked case/evidence rows where extracted</x:v>
      </x:c>
      <x:c r="Q472" s="19" t="str"/>
      <x:c r="R472" s="19" t="str">
        <x:v>see linked quote/case product implication</x:v>
      </x:c>
      <x:c r="S472" s="19" t="str">
        <x:v>medium</x:v>
      </x:c>
      <x:c r="T472" s="19" t="str">
        <x:v>02_extracted_evidence/reviews_or_complaints.csv</x:v>
      </x:c>
      <x:c r="U472" s="19" t="str">
        <x:v>research_evidence_package_patient_complaints_identification_failures_2026-05-30.tar.gz::02_extracted_evidence/reviews_or_complaints.csv::R003</x:v>
      </x:c>
    </x:row>
    <x:row r="473">
      <x:c r="A473" s="19" t="str">
        <x:v>C_complaints</x:v>
      </x:c>
      <x:c r="B473" s="19" t="str">
        <x:v>research_evidence_package_patient_complaints_identification_failures_2026-05-30.tar.gz</x:v>
      </x:c>
      <x:c r="C473" s="19" t="str">
        <x:v>Research C / patient complaints and identification failures</x:v>
      </x:c>
      <x:c r="D473" s="19" t="str">
        <x:v>review_or_complaint</x:v>
      </x:c>
      <x:c r="E473" s="19" t="str">
        <x:v>R004</x:v>
      </x:c>
      <x:c r="F473" s="19" t="str">
        <x:v>S004</x:v>
      </x:c>
      <x:c r="G473" s="19" t="str">
        <x:v>Dismissed an elderly person</x:v>
      </x:c>
      <x:c r="H473" s="19" t="str">
        <x:v>https://www.careopinion.org.uk/1349233</x:v>
      </x:c>
      <x:c r="I473" s="19" t="str">
        <x:v>England, UK</x:v>
      </x:c>
      <x:c r="J473" s="19" t="str">
        <x:v>A&amp;E, GP, ambulance/111</x:v>
      </x:c>
      <x:c r="K473" s="19" t="str">
        <x:v>unknown</x:v>
      </x:c>
      <x:c r="L473" s="19" t="str"/>
      <x:c r="M473" s="19" t="str">
        <x:v>patient experience / diagnostic identification workflow</x:v>
      </x:c>
      <x:c r="N473" s="19" t="str">
        <x:v>No one listened to us.</x:v>
      </x:c>
      <x:c r="O473" s="19" t="str">
        <x:v>Relative reported severe back pain after bowel cancer dismissed across services.</x:v>
      </x:c>
      <x:c r="P473" s="19" t="str">
        <x:v>unknown; see linked case/evidence rows where extracted</x:v>
      </x:c>
      <x:c r="Q473" s="19" t="str"/>
      <x:c r="R473" s="19" t="str">
        <x:v>see linked quote/case product implication</x:v>
      </x:c>
      <x:c r="S473" s="19" t="str">
        <x:v>medium</x:v>
      </x:c>
      <x:c r="T473" s="19" t="str">
        <x:v>02_extracted_evidence/reviews_or_complaints.csv</x:v>
      </x:c>
      <x:c r="U473" s="19" t="str">
        <x:v>research_evidence_package_patient_complaints_identification_failures_2026-05-30.tar.gz::02_extracted_evidence/reviews_or_complaints.csv::R004</x:v>
      </x:c>
    </x:row>
    <x:row r="474">
      <x:c r="A474" s="19" t="str">
        <x:v>C_complaints</x:v>
      </x:c>
      <x:c r="B474" s="19" t="str">
        <x:v>research_evidence_package_patient_complaints_identification_failures_2026-05-30.tar.gz</x:v>
      </x:c>
      <x:c r="C474" s="19" t="str">
        <x:v>Research C / patient complaints and identification failures</x:v>
      </x:c>
      <x:c r="D474" s="19" t="str">
        <x:v>review_or_complaint</x:v>
      </x:c>
      <x:c r="E474" s="19" t="str">
        <x:v>R005</x:v>
      </x:c>
      <x:c r="F474" s="19" t="str">
        <x:v>S005</x:v>
      </x:c>
      <x:c r="G474" s="19" t="str">
        <x:v>My daughter’s experience at CAMHS</x:v>
      </x:c>
      <x:c r="H474" s="19" t="str">
        <x:v>https://www.careopinion.org.uk/176152</x:v>
      </x:c>
      <x:c r="I474" s="19" t="str">
        <x:v>Scotland, UK</x:v>
      </x:c>
      <x:c r="J474" s="19" t="str">
        <x:v>CAMHS / adolescent mental health</x:v>
      </x:c>
      <x:c r="K474" s="19" t="str">
        <x:v>unknown</x:v>
      </x:c>
      <x:c r="L474" s="19" t="str"/>
      <x:c r="M474" s="19" t="str">
        <x:v>patient experience / diagnostic identification workflow</x:v>
      </x:c>
      <x:c r="N474" s="19" t="str">
        <x:v>Refused to listen properly.</x:v>
      </x:c>
      <x:c r="O474" s="19" t="str">
        <x:v>Parent said initial CAMHS psychiatrist dismissed family input and genetics/family history.</x:v>
      </x:c>
      <x:c r="P474" s="19" t="str">
        <x:v>unknown; see linked case/evidence rows where extracted</x:v>
      </x:c>
      <x:c r="Q474" s="19" t="str"/>
      <x:c r="R474" s="19" t="str">
        <x:v>see linked quote/case product implication</x:v>
      </x:c>
      <x:c r="S474" s="19" t="str">
        <x:v>medium</x:v>
      </x:c>
      <x:c r="T474" s="19" t="str">
        <x:v>02_extracted_evidence/reviews_or_complaints.csv</x:v>
      </x:c>
      <x:c r="U474" s="19" t="str">
        <x:v>research_evidence_package_patient_complaints_identification_failures_2026-05-30.tar.gz::02_extracted_evidence/reviews_or_complaints.csv::R005</x:v>
      </x:c>
    </x:row>
    <x:row r="475">
      <x:c r="A475" s="19" t="str">
        <x:v>C_complaints</x:v>
      </x:c>
      <x:c r="B475" s="19" t="str">
        <x:v>research_evidence_package_patient_complaints_identification_failures_2026-05-30.tar.gz</x:v>
      </x:c>
      <x:c r="C475" s="19" t="str">
        <x:v>Research C / patient complaints and identification failures</x:v>
      </x:c>
      <x:c r="D475" s="19" t="str">
        <x:v>review_or_complaint</x:v>
      </x:c>
      <x:c r="E475" s="19" t="str">
        <x:v>R006</x:v>
      </x:c>
      <x:c r="F475" s="19" t="str">
        <x:v>S006</x:v>
      </x:c>
      <x:c r="G475" s="19" t="str">
        <x:v>Denied ADHD referral</x:v>
      </x:c>
      <x:c r="H475" s="19" t="str">
        <x:v>https://www.careopinion.org.uk/1167674</x:v>
      </x:c>
      <x:c r="I475" s="19" t="str">
        <x:v>Scotland, UK</x:v>
      </x:c>
      <x:c r="J475" s="19" t="str">
        <x:v>primary care to mental health referral</x:v>
      </x:c>
      <x:c r="K475" s="19" t="str">
        <x:v>unknown</x:v>
      </x:c>
      <x:c r="L475" s="19" t="str"/>
      <x:c r="M475" s="19" t="str">
        <x:v>patient experience / diagnostic identification workflow</x:v>
      </x:c>
      <x:c r="N475" s="19" t="str">
        <x:v>Not even meeting me.</x:v>
      </x:c>
      <x:c r="O475" s="19" t="str">
        <x:v>Patient said psychiatrist declined ADHD assessment without patient encounter.</x:v>
      </x:c>
      <x:c r="P475" s="19" t="str">
        <x:v>unknown; see linked case/evidence rows where extracted</x:v>
      </x:c>
      <x:c r="Q475" s="19" t="str"/>
      <x:c r="R475" s="19" t="str">
        <x:v>see linked quote/case product implication</x:v>
      </x:c>
      <x:c r="S475" s="19" t="str">
        <x:v>medium</x:v>
      </x:c>
      <x:c r="T475" s="19" t="str">
        <x:v>02_extracted_evidence/reviews_or_complaints.csv</x:v>
      </x:c>
      <x:c r="U475" s="19" t="str">
        <x:v>research_evidence_package_patient_complaints_identification_failures_2026-05-30.tar.gz::02_extracted_evidence/reviews_or_complaints.csv::R006</x:v>
      </x:c>
    </x:row>
    <x:row r="476">
      <x:c r="A476" s="19" t="str">
        <x:v>C_complaints</x:v>
      </x:c>
      <x:c r="B476" s="19" t="str">
        <x:v>research_evidence_package_patient_complaints_identification_failures_2026-05-30.tar.gz</x:v>
      </x:c>
      <x:c r="C476" s="19" t="str">
        <x:v>Research C / patient complaints and identification failures</x:v>
      </x:c>
      <x:c r="D476" s="19" t="str">
        <x:v>review_or_complaint</x:v>
      </x:c>
      <x:c r="E476" s="19" t="str">
        <x:v>R007</x:v>
      </x:c>
      <x:c r="F476" s="19" t="str">
        <x:v>S007</x:v>
      </x:c>
      <x:c r="G476" s="19" t="str">
        <x:v>Wrongfully diagnosed</x:v>
      </x:c>
      <x:c r="H476" s="19" t="str">
        <x:v>https://www.careopinion.org.uk/1378025</x:v>
      </x:c>
      <x:c r="I476" s="19" t="str">
        <x:v>England, UK</x:v>
      </x:c>
      <x:c r="J476" s="19" t="str">
        <x:v>A&amp;E, physiotherapy, community services</x:v>
      </x:c>
      <x:c r="K476" s="19" t="str">
        <x:v>unknown</x:v>
      </x:c>
      <x:c r="L476" s="19" t="str"/>
      <x:c r="M476" s="19" t="str">
        <x:v>patient experience / diagnostic identification workflow</x:v>
      </x:c>
      <x:c r="N476" s="19" t="str">
        <x:v>No one had told me initially.</x:v>
      </x:c>
      <x:c r="O476" s="19" t="str">
        <x:v>Patient found diagnostic language in portal and felt letters framed things inconsistently.</x:v>
      </x:c>
      <x:c r="P476" s="19" t="str">
        <x:v>unknown; see linked case/evidence rows where extracted</x:v>
      </x:c>
      <x:c r="Q476" s="19" t="str"/>
      <x:c r="R476" s="19" t="str">
        <x:v>see linked quote/case product implication</x:v>
      </x:c>
      <x:c r="S476" s="19" t="str">
        <x:v>medium</x:v>
      </x:c>
      <x:c r="T476" s="19" t="str">
        <x:v>02_extracted_evidence/reviews_or_complaints.csv</x:v>
      </x:c>
      <x:c r="U476" s="19" t="str">
        <x:v>research_evidence_package_patient_complaints_identification_failures_2026-05-30.tar.gz::02_extracted_evidence/reviews_or_complaints.csv::R007</x:v>
      </x:c>
    </x:row>
    <x:row r="477">
      <x:c r="A477" s="19" t="str">
        <x:v>C_complaints</x:v>
      </x:c>
      <x:c r="B477" s="19" t="str">
        <x:v>research_evidence_package_patient_complaints_identification_failures_2026-05-30.tar.gz</x:v>
      </x:c>
      <x:c r="C477" s="19" t="str">
        <x:v>Research C / patient complaints and identification failures</x:v>
      </x:c>
      <x:c r="D477" s="19" t="str">
        <x:v>review_or_complaint</x:v>
      </x:c>
      <x:c r="E477" s="19" t="str">
        <x:v>R008</x:v>
      </x:c>
      <x:c r="F477" s="19" t="str">
        <x:v>S018</x:v>
      </x:c>
      <x:c r="G477" s="19" t="str">
        <x:v>Taya’s Story</x:v>
      </x:c>
      <x:c r="H477" s="19" t="str">
        <x:v>https://www.endometriosis-uk.org/tayas-story</x:v>
      </x:c>
      <x:c r="I477" s="19" t="str">
        <x:v>UK</x:v>
      </x:c>
      <x:c r="J477" s="19" t="str">
        <x:v>GP to specialist gynecology</x:v>
      </x:c>
      <x:c r="K477" s="19" t="str">
        <x:v>unknown</x:v>
      </x:c>
      <x:c r="L477" s="19" t="str"/>
      <x:c r="M477" s="19" t="str">
        <x:v>patient experience / diagnostic identification workflow</x:v>
      </x:c>
      <x:c r="N477" s="19" t="str">
        <x:v>Too many women worry about endometriosis.</x:v>
      </x:c>
      <x:c r="O477" s="19" t="str">
        <x:v>Patient recalled specialist comment during endometriosis referral review.</x:v>
      </x:c>
      <x:c r="P477" s="19" t="str">
        <x:v>unknown; see linked case/evidence rows where extracted</x:v>
      </x:c>
      <x:c r="Q477" s="19" t="str"/>
      <x:c r="R477" s="19" t="str">
        <x:v>see linked quote/case product implication</x:v>
      </x:c>
      <x:c r="S477" s="19" t="str">
        <x:v>medium</x:v>
      </x:c>
      <x:c r="T477" s="19" t="str">
        <x:v>02_extracted_evidence/reviews_or_complaints.csv</x:v>
      </x:c>
      <x:c r="U477" s="19" t="str">
        <x:v>research_evidence_package_patient_complaints_identification_failures_2026-05-30.tar.gz::02_extracted_evidence/reviews_or_complaints.csv::R008</x:v>
      </x:c>
    </x:row>
    <x:row r="478">
      <x:c r="A478" s="19" t="str">
        <x:v>C_complaints</x:v>
      </x:c>
      <x:c r="B478" s="19" t="str">
        <x:v>research_evidence_package_patient_complaints_identification_failures_2026-05-30.tar.gz</x:v>
      </x:c>
      <x:c r="C478" s="19" t="str">
        <x:v>Research C / patient complaints and identification failures</x:v>
      </x:c>
      <x:c r="D478" s="19" t="str">
        <x:v>review_or_complaint</x:v>
      </x:c>
      <x:c r="E478" s="19" t="str">
        <x:v>R009</x:v>
      </x:c>
      <x:c r="F478" s="19" t="str">
        <x:v>S019</x:v>
      </x:c>
      <x:c r="G478" s="19" t="str">
        <x:v>Orla’s Story</x:v>
      </x:c>
      <x:c r="H478" s="19" t="str">
        <x:v>https://www.endometriosis-uk.org/orlas-story</x:v>
      </x:c>
      <x:c r="I478" s="19" t="str">
        <x:v>UK</x:v>
      </x:c>
      <x:c r="J478" s="19" t="str">
        <x:v>primary care, fertility clinic, gynecology</x:v>
      </x:c>
      <x:c r="K478" s="19" t="str">
        <x:v>unknown</x:v>
      </x:c>
      <x:c r="L478" s="19" t="str"/>
      <x:c r="M478" s="19" t="str">
        <x:v>patient experience / diagnostic identification workflow</x:v>
      </x:c>
      <x:c r="N478" s="19" t="str">
        <x:v>Normal part of womanhood.</x:v>
      </x:c>
      <x:c r="O478" s="19" t="str">
        <x:v>Patient said severe adolescent symptoms were normalized.</x:v>
      </x:c>
      <x:c r="P478" s="19" t="str">
        <x:v>unknown; see linked case/evidence rows where extracted</x:v>
      </x:c>
      <x:c r="Q478" s="19" t="str"/>
      <x:c r="R478" s="19" t="str">
        <x:v>see linked quote/case product implication</x:v>
      </x:c>
      <x:c r="S478" s="19" t="str">
        <x:v>medium</x:v>
      </x:c>
      <x:c r="T478" s="19" t="str">
        <x:v>02_extracted_evidence/reviews_or_complaints.csv</x:v>
      </x:c>
      <x:c r="U478" s="19" t="str">
        <x:v>research_evidence_package_patient_complaints_identification_failures_2026-05-30.tar.gz::02_extracted_evidence/reviews_or_complaints.csv::R009</x:v>
      </x:c>
    </x:row>
    <x:row r="479">
      <x:c r="A479" s="19" t="str">
        <x:v>C_complaints</x:v>
      </x:c>
      <x:c r="B479" s="19" t="str">
        <x:v>research_evidence_package_patient_complaints_identification_failures_2026-05-30.tar.gz</x:v>
      </x:c>
      <x:c r="C479" s="19" t="str">
        <x:v>Research C / patient complaints and identification failures</x:v>
      </x:c>
      <x:c r="D479" s="19" t="str">
        <x:v>review_or_complaint</x:v>
      </x:c>
      <x:c r="E479" s="19" t="str">
        <x:v>R010</x:v>
      </x:c>
      <x:c r="F479" s="19" t="str">
        <x:v>S020</x:v>
      </x:c>
      <x:c r="G479" s="19" t="str">
        <x:v>Dipika’s Story</x:v>
      </x:c>
      <x:c r="H479" s="19" t="str">
        <x:v>https://www.endometriosis-uk.org/dipikas-story</x:v>
      </x:c>
      <x:c r="I479" s="19" t="str">
        <x:v>UK</x:v>
      </x:c>
      <x:c r="J479" s="19" t="str">
        <x:v>primary care to gynecology</x:v>
      </x:c>
      <x:c r="K479" s="19" t="str">
        <x:v>unknown</x:v>
      </x:c>
      <x:c r="L479" s="19" t="str"/>
      <x:c r="M479" s="19" t="str">
        <x:v>patient experience / diagnostic identification workflow</x:v>
      </x:c>
      <x:c r="N479" s="19" t="str">
        <x:v>Finally had answers after 27 years.</x:v>
      </x:c>
      <x:c r="O479" s="19" t="str">
        <x:v>Patient reflected on long endometriosis diagnostic delay.</x:v>
      </x:c>
      <x:c r="P479" s="19" t="str">
        <x:v>unknown; see linked case/evidence rows where extracted</x:v>
      </x:c>
      <x:c r="Q479" s="19" t="str"/>
      <x:c r="R479" s="19" t="str">
        <x:v>see linked quote/case product implication</x:v>
      </x:c>
      <x:c r="S479" s="19" t="str">
        <x:v>medium</x:v>
      </x:c>
      <x:c r="T479" s="19" t="str">
        <x:v>02_extracted_evidence/reviews_or_complaints.csv</x:v>
      </x:c>
      <x:c r="U479" s="19" t="str">
        <x:v>research_evidence_package_patient_complaints_identification_failures_2026-05-30.tar.gz::02_extracted_evidence/reviews_or_complaints.csv::R010</x:v>
      </x:c>
    </x:row>
    <x:row r="480">
      <x:c r="A480" s="19" t="str">
        <x:v>C_complaints</x:v>
      </x:c>
      <x:c r="B480" s="19" t="str">
        <x:v>research_evidence_package_patient_complaints_identification_failures_2026-05-30.tar.gz</x:v>
      </x:c>
      <x:c r="C480" s="19" t="str">
        <x:v>Research C / patient complaints and identification failures</x:v>
      </x:c>
      <x:c r="D480" s="19" t="str">
        <x:v>review_or_complaint</x:v>
      </x:c>
      <x:c r="E480" s="19" t="str">
        <x:v>R011</x:v>
      </x:c>
      <x:c r="F480" s="19" t="str">
        <x:v>S021</x:v>
      </x:c>
      <x:c r="G480" s="19" t="str">
        <x:v>Stephanie’s Story</x:v>
      </x:c>
      <x:c r="H480" s="19" t="str">
        <x:v>https://www.endometriosis-uk.org/stephanies-story-0</x:v>
      </x:c>
      <x:c r="I480" s="19" t="str">
        <x:v>UK</x:v>
      </x:c>
      <x:c r="J480" s="19" t="str">
        <x:v>A&amp;E, imaging, surgery</x:v>
      </x:c>
      <x:c r="K480" s="19" t="str">
        <x:v>unknown</x:v>
      </x:c>
      <x:c r="L480" s="19" t="str"/>
      <x:c r="M480" s="19" t="str">
        <x:v>patient experience / diagnostic identification workflow</x:v>
      </x:c>
      <x:c r="N480" s="19" t="str">
        <x:v>I wasn’t given any further information.</x:v>
      </x:c>
      <x:c r="O480" s="19" t="str">
        <x:v>Patient reported little explanation after surgery/endometriosis diagnosis.</x:v>
      </x:c>
      <x:c r="P480" s="19" t="str">
        <x:v>unknown; see linked case/evidence rows where extracted</x:v>
      </x:c>
      <x:c r="Q480" s="19" t="str"/>
      <x:c r="R480" s="19" t="str">
        <x:v>see linked quote/case product implication</x:v>
      </x:c>
      <x:c r="S480" s="19" t="str">
        <x:v>medium</x:v>
      </x:c>
      <x:c r="T480" s="19" t="str">
        <x:v>02_extracted_evidence/reviews_or_complaints.csv</x:v>
      </x:c>
      <x:c r="U480" s="19" t="str">
        <x:v>research_evidence_package_patient_complaints_identification_failures_2026-05-30.tar.gz::02_extracted_evidence/reviews_or_complaints.csv::R011</x:v>
      </x:c>
    </x:row>
    <x:row r="481">
      <x:c r="A481" s="19" t="str">
        <x:v>C_complaints</x:v>
      </x:c>
      <x:c r="B481" s="19" t="str">
        <x:v>research_evidence_package_patient_complaints_identification_failures_2026-05-30.tar.gz</x:v>
      </x:c>
      <x:c r="C481" s="19" t="str">
        <x:v>Research C / patient complaints and identification failures</x:v>
      </x:c>
      <x:c r="D481" s="19" t="str">
        <x:v>review_or_complaint</x:v>
      </x:c>
      <x:c r="E481" s="19" t="str">
        <x:v>R012</x:v>
      </x:c>
      <x:c r="F481" s="19" t="str">
        <x:v>S022</x:v>
      </x:c>
      <x:c r="G481" s="19" t="str">
        <x:v>Debbie Cameron, Merseyside</x:v>
      </x:c>
      <x:c r="H481" s="19" t="str">
        <x:v>https://www.bowelcanceruk.org.uk/how-we-can-help/real-life-stories/personal-experiences/debbie-cameron%2C-merseyside/</x:v>
      </x:c>
      <x:c r="I481" s="19" t="str">
        <x:v>England, UK</x:v>
      </x:c>
      <x:c r="J481" s="19" t="str">
        <x:v>primary care, screening, colonoscopy</x:v>
      </x:c>
      <x:c r="K481" s="19" t="str">
        <x:v>unknown</x:v>
      </x:c>
      <x:c r="L481" s="19" t="str"/>
      <x:c r="M481" s="19" t="str">
        <x:v>patient experience / diagnostic identification workflow</x:v>
      </x:c>
      <x:c r="N481" s="19" t="str">
        <x:v>I wasn’t even examined.</x:v>
      </x:c>
      <x:c r="O481" s="19" t="str">
        <x:v>Patient with blood in stool said GP did not examine her before IBS/piles explanation.</x:v>
      </x:c>
      <x:c r="P481" s="19" t="str">
        <x:v>unknown; see linked case/evidence rows where extracted</x:v>
      </x:c>
      <x:c r="Q481" s="19" t="str"/>
      <x:c r="R481" s="19" t="str">
        <x:v>see linked quote/case product implication</x:v>
      </x:c>
      <x:c r="S481" s="19" t="str">
        <x:v>medium</x:v>
      </x:c>
      <x:c r="T481" s="19" t="str">
        <x:v>02_extracted_evidence/reviews_or_complaints.csv</x:v>
      </x:c>
      <x:c r="U481" s="19" t="str">
        <x:v>research_evidence_package_patient_complaints_identification_failures_2026-05-30.tar.gz::02_extracted_evidence/reviews_or_complaints.csv::R012</x:v>
      </x:c>
    </x:row>
    <x:row r="482">
      <x:c r="A482" s="19" t="str">
        <x:v>C_complaints</x:v>
      </x:c>
      <x:c r="B482" s="19" t="str">
        <x:v>research_evidence_package_patient_complaints_identification_failures_2026-05-30.tar.gz</x:v>
      </x:c>
      <x:c r="C482" s="19" t="str">
        <x:v>Research C / patient complaints and identification failures</x:v>
      </x:c>
      <x:c r="D482" s="19" t="str">
        <x:v>review_or_complaint</x:v>
      </x:c>
      <x:c r="E482" s="19" t="str">
        <x:v>R013</x:v>
      </x:c>
      <x:c r="F482" s="19" t="str">
        <x:v>S023</x:v>
      </x:c>
      <x:c r="G482" s="19" t="str">
        <x:v>Sarah McCollum, Surrey</x:v>
      </x:c>
      <x:c r="H482" s="19" t="str">
        <x:v>https://www.bowelcanceruk.org.uk/how-we-can-help/real-life-stories/younger-people-with-bowel-cancer/sarah-mccollum-surrey/</x:v>
      </x:c>
      <x:c r="I482" s="19" t="str">
        <x:v>England, UK</x:v>
      </x:c>
      <x:c r="J482" s="19" t="str">
        <x:v>A&amp;E, gynecology, screening, colonoscopy</x:v>
      </x:c>
      <x:c r="K482" s="19" t="str">
        <x:v>unknown</x:v>
      </x:c>
      <x:c r="L482" s="19" t="str"/>
      <x:c r="M482" s="19" t="str">
        <x:v>patient experience / diagnostic identification workflow</x:v>
      </x:c>
      <x:c r="N482" s="19" t="str">
        <x:v>Too young to have cancer.</x:v>
      </x:c>
      <x:c r="O482" s="19" t="str">
        <x:v>Young bowel cancer patient reported age-based dismissal.</x:v>
      </x:c>
      <x:c r="P482" s="19" t="str">
        <x:v>unknown; see linked case/evidence rows where extracted</x:v>
      </x:c>
      <x:c r="Q482" s="19" t="str"/>
      <x:c r="R482" s="19" t="str">
        <x:v>see linked quote/case product implication</x:v>
      </x:c>
      <x:c r="S482" s="19" t="str">
        <x:v>medium</x:v>
      </x:c>
      <x:c r="T482" s="19" t="str">
        <x:v>02_extracted_evidence/reviews_or_complaints.csv</x:v>
      </x:c>
      <x:c r="U482" s="19" t="str">
        <x:v>research_evidence_package_patient_complaints_identification_failures_2026-05-30.tar.gz::02_extracted_evidence/reviews_or_complaints.csv::R013</x:v>
      </x:c>
    </x:row>
    <x:row r="483">
      <x:c r="A483" s="19" t="str">
        <x:v>C_complaints</x:v>
      </x:c>
      <x:c r="B483" s="19" t="str">
        <x:v>research_evidence_package_patient_complaints_identification_failures_2026-05-30.tar.gz</x:v>
      </x:c>
      <x:c r="C483" s="19" t="str">
        <x:v>Research C / patient complaints and identification failures</x:v>
      </x:c>
      <x:c r="D483" s="19" t="str">
        <x:v>review_or_complaint</x:v>
      </x:c>
      <x:c r="E483" s="19" t="str">
        <x:v>R014</x:v>
      </x:c>
      <x:c r="F483" s="19" t="str">
        <x:v>S025</x:v>
      </x:c>
      <x:c r="G483" s="19" t="str">
        <x:v>22-year-old diagnosed with terminal cancer after symptoms dismissed</x:v>
      </x:c>
      <x:c r="H483" s="19" t="str">
        <x:v>https://people.com/22-year-old-diagnosed-with-terminal-cancer-after-docs-dismiss-symptoms-11855746</x:v>
      </x:c>
      <x:c r="I483" s="19" t="str">
        <x:v>England, UK</x:v>
      </x:c>
      <x:c r="J483" s="19" t="str">
        <x:v>GP, A&amp;E, imaging, oncology</x:v>
      </x:c>
      <x:c r="K483" s="19" t="str">
        <x:v>unknown</x:v>
      </x:c>
      <x:c r="L483" s="19" t="str"/>
      <x:c r="M483" s="19" t="str">
        <x:v>patient experience / diagnostic identification workflow</x:v>
      </x:c>
      <x:c r="N483" s="19" t="str">
        <x:v>Why would you come to A&amp;E for back pain?</x:v>
      </x:c>
      <x:c r="O483" s="19" t="str">
        <x:v>Young patient with severe back pain recalled dismissive emergency response.</x:v>
      </x:c>
      <x:c r="P483" s="19" t="str">
        <x:v>unknown; see linked case/evidence rows where extracted</x:v>
      </x:c>
      <x:c r="Q483" s="19" t="str"/>
      <x:c r="R483" s="19" t="str">
        <x:v>see linked quote/case product implication</x:v>
      </x:c>
      <x:c r="S483" s="19" t="str">
        <x:v>low-medium</x:v>
      </x:c>
      <x:c r="T483" s="19" t="str">
        <x:v>02_extracted_evidence/reviews_or_complaints.csv</x:v>
      </x:c>
      <x:c r="U483" s="19" t="str">
        <x:v>research_evidence_package_patient_complaints_identification_failures_2026-05-30.tar.gz::02_extracted_evidence/reviews_or_complaints.csv::R014</x:v>
      </x:c>
    </x:row>
    <x:row r="484">
      <x:c r="A484" s="19" t="str">
        <x:v>C_complaints</x:v>
      </x:c>
      <x:c r="B484" s="19" t="str">
        <x:v>research_evidence_package_patient_complaints_identification_failures_2026-05-30.tar.gz</x:v>
      </x:c>
      <x:c r="C484" s="19" t="str">
        <x:v>Research C / patient complaints and identification failures</x:v>
      </x:c>
      <x:c r="D484" s="19" t="str">
        <x:v>review_or_complaint</x:v>
      </x:c>
      <x:c r="E484" s="19" t="str">
        <x:v>R015</x:v>
      </x:c>
      <x:c r="F484" s="19" t="str">
        <x:v>S026</x:v>
      </x:c>
      <x:c r="G484" s="19" t="str">
        <x:v>Wrong diagnosis killing many patients in Nigerian hospitals</x:v>
      </x:c>
      <x:c r="H484" s="19" t="str">
        <x:v>https://businessday.ng/health/article/wrong-diagnosis-killing-many-patients-in-nigerian-hospitals/</x:v>
      </x:c>
      <x:c r="I484" s="19" t="str">
        <x:v>Nigeria</x:v>
      </x:c>
      <x:c r="J484" s="19" t="str">
        <x:v>clinics/hospitals, labs, gynecology</x:v>
      </x:c>
      <x:c r="K484" s="19" t="str">
        <x:v>unknown</x:v>
      </x:c>
      <x:c r="L484" s="19" t="str"/>
      <x:c r="M484" s="19" t="str">
        <x:v>patient experience / diagnostic identification workflow</x:v>
      </x:c>
      <x:c r="N484" s="19" t="str">
        <x:v>I felt like I was going crazy.</x:v>
      </x:c>
      <x:c r="O484" s="19" t="str">
        <x:v>Patient described repeated inconclusive tests and infection treatment before cervical cancer biopsy.</x:v>
      </x:c>
      <x:c r="P484" s="19" t="str">
        <x:v>unknown; see linked case/evidence rows where extracted</x:v>
      </x:c>
      <x:c r="Q484" s="19" t="str"/>
      <x:c r="R484" s="19" t="str">
        <x:v>see linked quote/case product implication</x:v>
      </x:c>
      <x:c r="S484" s="19" t="str">
        <x:v>low-medium</x:v>
      </x:c>
      <x:c r="T484" s="19" t="str">
        <x:v>02_extracted_evidence/reviews_or_complaints.csv</x:v>
      </x:c>
      <x:c r="U484" s="19" t="str">
        <x:v>research_evidence_package_patient_complaints_identification_failures_2026-05-30.tar.gz::02_extracted_evidence/reviews_or_complaints.csv::R015</x:v>
      </x:c>
    </x:row>
    <x:row r="485">
      <x:c r="A485" s="19" t="str">
        <x:v>C_complaints</x:v>
      </x:c>
      <x:c r="B485" s="19" t="str">
        <x:v>research_evidence_package_patient_complaints_identification_failures_2026-05-30.tar.gz</x:v>
      </x:c>
      <x:c r="C485" s="19" t="str">
        <x:v>Research C / patient complaints and identification failures</x:v>
      </x:c>
      <x:c r="D485" s="19" t="str">
        <x:v>review_or_complaint</x:v>
      </x:c>
      <x:c r="E485" s="19" t="str">
        <x:v>R016</x:v>
      </x:c>
      <x:c r="F485" s="19" t="str">
        <x:v>S027</x:v>
      </x:c>
      <x:c r="G485" s="19" t="str">
        <x:v>Victims of wrong diagnosis, prescriptions in Kaduna, Katsina, Kano decry rot</x:v>
      </x:c>
      <x:c r="H485" s="19" t="str">
        <x:v>https://gazettengr.com/victims-of-wrong-diagnosis-prescriptions-in-kaduna-katsina-kano-decry-rot-in-nigerias-health-sector/</x:v>
      </x:c>
      <x:c r="I485" s="19" t="str">
        <x:v>Nigeria</x:v>
      </x:c>
      <x:c r="J485" s="19" t="str">
        <x:v>hospitals and labs</x:v>
      </x:c>
      <x:c r="K485" s="19" t="str">
        <x:v>unknown</x:v>
      </x:c>
      <x:c r="L485" s="19" t="str"/>
      <x:c r="M485" s="19" t="str">
        <x:v>patient experience / diagnostic identification workflow</x:v>
      </x:c>
      <x:c r="N485" s="19" t="str">
        <x:v>Health workers’ poor attitude is another major issue.</x:v>
      </x:c>
      <x:c r="O485" s="19" t="str">
        <x:v>Patient/commentary in Nigerian wrong-diagnosis report.</x:v>
      </x:c>
      <x:c r="P485" s="19" t="str">
        <x:v>unknown; see linked case/evidence rows where extracted</x:v>
      </x:c>
      <x:c r="Q485" s="19" t="str"/>
      <x:c r="R485" s="19" t="str">
        <x:v>see linked quote/case product implication</x:v>
      </x:c>
      <x:c r="S485" s="19" t="str">
        <x:v>low</x:v>
      </x:c>
      <x:c r="T485" s="19" t="str">
        <x:v>02_extracted_evidence/reviews_or_complaints.csv</x:v>
      </x:c>
      <x:c r="U485" s="19" t="str">
        <x:v>research_evidence_package_patient_complaints_identification_failures_2026-05-30.tar.gz::02_extracted_evidence/reviews_or_complaints.csv::R016</x:v>
      </x:c>
    </x:row>
    <x:row r="486">
      <x:c r="A486" s="19" t="str">
        <x:v>C_complaints</x:v>
      </x:c>
      <x:c r="B486" s="19" t="str">
        <x:v>research_evidence_package_patient_complaints_identification_failures_2026-05-30.tar.gz</x:v>
      </x:c>
      <x:c r="C486" s="19" t="str">
        <x:v>Research C / patient complaints and identification failures</x:v>
      </x:c>
      <x:c r="D486" s="19" t="str">
        <x:v>review_or_complaint</x:v>
      </x:c>
      <x:c r="E486" s="19" t="str">
        <x:v>R017</x:v>
      </x:c>
      <x:c r="F486" s="19" t="str">
        <x:v>S037</x:v>
      </x:c>
      <x:c r="G486" s="19" t="str">
        <x:v>A very thorough doctor</x:v>
      </x:c>
      <x:c r="H486" s="19" t="str">
        <x:v>https://www.careopinion.org.uk/1333013</x:v>
      </x:c>
      <x:c r="I486" s="19" t="str">
        <x:v>UK</x:v>
      </x:c>
      <x:c r="J486" s="19" t="str">
        <x:v>primary care / NHS-linked review</x:v>
      </x:c>
      <x:c r="K486" s="19" t="str">
        <x:v>unknown</x:v>
      </x:c>
      <x:c r="L486" s="19" t="str"/>
      <x:c r="M486" s="19" t="str">
        <x:v>patient experience / diagnostic identification workflow</x:v>
      </x:c>
      <x:c r="N486" s="19" t="str">
        <x:v>Gave me time whilst he listened.</x:v>
      </x:c>
      <x:c r="O486" s="19" t="str">
        <x:v>Positive review of thorough consultation and result explanation.</x:v>
      </x:c>
      <x:c r="P486" s="19" t="str">
        <x:v>unknown; see linked case/evidence rows where extracted</x:v>
      </x:c>
      <x:c r="Q486" s="19" t="str"/>
      <x:c r="R486" s="19" t="str">
        <x:v>see linked quote/case product implication</x:v>
      </x:c>
      <x:c r="S486" s="19" t="str">
        <x:v>medium</x:v>
      </x:c>
      <x:c r="T486" s="19" t="str">
        <x:v>02_extracted_evidence/reviews_or_complaints.csv</x:v>
      </x:c>
      <x:c r="U486" s="19" t="str">
        <x:v>research_evidence_package_patient_complaints_identification_failures_2026-05-30.tar.gz::02_extracted_evidence/reviews_or_complaints.csv::R017</x:v>
      </x:c>
    </x:row>
    <x:row r="487">
      <x:c r="A487" s="19" t="str">
        <x:v>C_complaints</x:v>
      </x:c>
      <x:c r="B487" s="19" t="str">
        <x:v>research_evidence_package_patient_complaints_identification_failures_2026-05-30.tar.gz</x:v>
      </x:c>
      <x:c r="C487" s="19" t="str">
        <x:v>Research C / patient complaints and identification failures</x:v>
      </x:c>
      <x:c r="D487" s="19" t="str">
        <x:v>review_or_complaint</x:v>
      </x:c>
      <x:c r="E487" s="19" t="str">
        <x:v>R018</x:v>
      </x:c>
      <x:c r="F487" s="19" t="str">
        <x:v>S038</x:v>
      </x:c>
      <x:c r="G487" s="19" t="str">
        <x:v>Consultant saw me as a whole person</x:v>
      </x:c>
      <x:c r="H487" s="19" t="str">
        <x:v>https://www.careopinion.org.uk/1065736</x:v>
      </x:c>
      <x:c r="I487" s="19" t="str">
        <x:v>Northern Ireland / UK</x:v>
      </x:c>
      <x:c r="J487" s="19" t="str">
        <x:v>specialist outpatient / cancer-related care</x:v>
      </x:c>
      <x:c r="K487" s="19" t="str">
        <x:v>unknown</x:v>
      </x:c>
      <x:c r="L487" s="19" t="str"/>
      <x:c r="M487" s="19" t="str">
        <x:v>patient experience / diagnostic identification workflow</x:v>
      </x:c>
      <x:c r="N487" s="19" t="str">
        <x:v>Whole person, not just the pain.</x:v>
      </x:c>
      <x:c r="O487" s="19" t="str">
        <x:v>Cancer-related positive review of consultant asking broader support questions.</x:v>
      </x:c>
      <x:c r="P487" s="19" t="str">
        <x:v>unknown; see linked case/evidence rows where extracted</x:v>
      </x:c>
      <x:c r="Q487" s="19" t="str"/>
      <x:c r="R487" s="19" t="str">
        <x:v>see linked quote/case product implication</x:v>
      </x:c>
      <x:c r="S487" s="19" t="str">
        <x:v>medium</x:v>
      </x:c>
      <x:c r="T487" s="19" t="str">
        <x:v>02_extracted_evidence/reviews_or_complaints.csv</x:v>
      </x:c>
      <x:c r="U487" s="19" t="str">
        <x:v>research_evidence_package_patient_complaints_identification_failures_2026-05-30.tar.gz::02_extracted_evidence/reviews_or_complaints.csv::R018</x:v>
      </x:c>
    </x:row>
    <x:row r="488">
      <x:c r="A488" s="19" t="str">
        <x:v>C_complaints</x:v>
      </x:c>
      <x:c r="B488" s="19" t="str">
        <x:v>research_evidence_package_patient_complaints_identification_failures_2026-05-30.tar.gz</x:v>
      </x:c>
      <x:c r="C488" s="19" t="str">
        <x:v>Research C / patient complaints and identification failures</x:v>
      </x:c>
      <x:c r="D488" s="19" t="str">
        <x:v>review_or_complaint</x:v>
      </x:c>
      <x:c r="E488" s="19" t="str">
        <x:v>R019</x:v>
      </x:c>
      <x:c r="F488" s="19" t="str">
        <x:v>S039</x:v>
      </x:c>
      <x:c r="G488" s="19" t="str">
        <x:v>Health visitor support for postpartum depression/anxiety</x:v>
      </x:c>
      <x:c r="H488" s="19" t="str">
        <x:v>https://www.careopinion.org.uk/1328982</x:v>
      </x:c>
      <x:c r="I488" s="19" t="str">
        <x:v>Northern Ireland / UK</x:v>
      </x:c>
      <x:c r="J488" s="19" t="str">
        <x:v>home/community health visiting</x:v>
      </x:c>
      <x:c r="K488" s="19" t="str">
        <x:v>unknown</x:v>
      </x:c>
      <x:c r="L488" s="19" t="str"/>
      <x:c r="M488" s="19" t="str">
        <x:v>patient experience / diagnostic identification workflow</x:v>
      </x:c>
      <x:c r="N488" s="19" t="str">
        <x:v>I always felt listened to.</x:v>
      </x:c>
      <x:c r="O488" s="19" t="str">
        <x:v>Postpartum patient praised health visitor continuity and responsiveness.</x:v>
      </x:c>
      <x:c r="P488" s="19" t="str">
        <x:v>unknown; see linked case/evidence rows where extracted</x:v>
      </x:c>
      <x:c r="Q488" s="19" t="str"/>
      <x:c r="R488" s="19" t="str">
        <x:v>see linked quote/case product implication</x:v>
      </x:c>
      <x:c r="S488" s="19" t="str">
        <x:v>medium</x:v>
      </x:c>
      <x:c r="T488" s="19" t="str">
        <x:v>02_extracted_evidence/reviews_or_complaints.csv</x:v>
      </x:c>
      <x:c r="U488" s="19" t="str">
        <x:v>research_evidence_package_patient_complaints_identification_failures_2026-05-30.tar.gz::02_extracted_evidence/reviews_or_complaints.csv::R019</x:v>
      </x:c>
    </x:row>
    <x:row r="489">
      <x:c r="A489" s="19" t="str">
        <x:v>C_complaints</x:v>
      </x:c>
      <x:c r="B489" s="19" t="str">
        <x:v>research_evidence_package_patient_complaints_identification_failures_2026-05-30.tar.gz</x:v>
      </x:c>
      <x:c r="C489" s="19" t="str">
        <x:v>Research C / patient complaints and identification failures</x:v>
      </x:c>
      <x:c r="D489" s="19" t="str">
        <x:v>metric</x:v>
      </x:c>
      <x:c r="E489" s="19" t="str">
        <x:v>M001</x:v>
      </x:c>
      <x:c r="F489" s="19" t="str">
        <x:v>S013</x:v>
      </x:c>
      <x:c r="G489" s="19" t="str">
        <x:v>Delayed diagnosis of cancer due to missed histology results</x:v>
      </x:c>
      <x:c r="H489" s="19" t="str">
        <x:v>https://www.hdc.org.nz/decisions/search-decisions/2025/22hdc02105/</x:v>
      </x:c>
      <x:c r="I489" s="19" t="str">
        <x:v>New Zealand</x:v>
      </x:c>
      <x:c r="J489" s="19" t="str">
        <x:v>secondary hospital/shared information system</x:v>
      </x:c>
      <x:c r="K489" s="19" t="str"/>
      <x:c r="L489" s="19" t="str">
        <x:v>delay from positive histology to action</x:v>
      </x:c>
      <x:c r="M489" s="19" t="str"/>
      <x:c r="N489" s="19" t="str">
        <x:v>delay from positive histology to action</x:v>
      </x:c>
      <x:c r="O489" s="19" t="str">
        <x:v>Illustrates abnormal-result follow-up ownership failure.</x:v>
      </x:c>
      <x:c r="P489" s="19" t="str"/>
      <x:c r="Q489" s="19" t="str">
        <x:v>Nov 2021 to May 2022</x:v>
      </x:c>
      <x:c r="R489" s="19" t="str"/>
      <x:c r="S489" s="19" t="str">
        <x:v>high</x:v>
      </x:c>
      <x:c r="T489" s="19" t="str">
        <x:v>02_extracted_evidence/statistics_or_metrics.csv</x:v>
      </x:c>
      <x:c r="U489" s="19" t="str">
        <x:v>research_evidence_package_patient_complaints_identification_failures_2026-05-30.tar.gz::02_extracted_evidence/statistics_or_metrics.csv::M001</x:v>
      </x:c>
    </x:row>
    <x:row r="490">
      <x:c r="A490" s="19" t="str">
        <x:v>C_complaints</x:v>
      </x:c>
      <x:c r="B490" s="19" t="str">
        <x:v>research_evidence_package_patient_complaints_identification_failures_2026-05-30.tar.gz</x:v>
      </x:c>
      <x:c r="C490" s="19" t="str">
        <x:v>Research C / patient complaints and identification failures</x:v>
      </x:c>
      <x:c r="D490" s="19" t="str">
        <x:v>metric</x:v>
      </x:c>
      <x:c r="E490" s="19" t="str">
        <x:v>M002</x:v>
      </x:c>
      <x:c r="F490" s="19" t="str">
        <x:v>S011</x:v>
      </x:c>
      <x:c r="G490" s="19" t="str">
        <x:v>Continuity of care: delayed diagnosis in GP practices</x:v>
      </x:c>
      <x:c r="H490" s="19" t="str">
        <x:v>https://www.hssib.org.uk/patient-safety-investigations/continuity-of-care-delayed-diagnosis-in-gp-practices/investigation-report/</x:v>
      </x:c>
      <x:c r="I490" s="19" t="str">
        <x:v>England, UK</x:v>
      </x:c>
      <x:c r="J490" s="19" t="str">
        <x:v>GP/out-of-hours/ED/oncology</x:v>
      </x:c>
      <x:c r="K490" s="19" t="str"/>
      <x:c r="L490" s="19" t="str">
        <x:v>delay before metastatic cancer diagnosis</x:v>
      </x:c>
      <x:c r="M490" s="19" t="str"/>
      <x:c r="N490" s="19" t="str">
        <x:v>delay before metastatic cancer diagnosis</x:v>
      </x:c>
      <x:c r="O490" s="19" t="str">
        <x:v>Illustrates repeated unresolved symptoms not connected across clinicians.</x:v>
      </x:c>
      <x:c r="P490" s="19" t="str"/>
      <x:c r="Q490" s="19" t="str">
        <x:v>case period in HSSIB report</x:v>
      </x:c>
      <x:c r="R490" s="19" t="str"/>
      <x:c r="S490" s="19" t="str">
        <x:v>high</x:v>
      </x:c>
      <x:c r="T490" s="19" t="str">
        <x:v>02_extracted_evidence/statistics_or_metrics.csv</x:v>
      </x:c>
      <x:c r="U490" s="19" t="str">
        <x:v>research_evidence_package_patient_complaints_identification_failures_2026-05-30.tar.gz::02_extracted_evidence/statistics_or_metrics.csv::M002</x:v>
      </x:c>
    </x:row>
    <x:row r="491">
      <x:c r="A491" s="19" t="str">
        <x:v>C_complaints</x:v>
      </x:c>
      <x:c r="B491" s="19" t="str">
        <x:v>research_evidence_package_patient_complaints_identification_failures_2026-05-30.tar.gz</x:v>
      </x:c>
      <x:c r="C491" s="19" t="str">
        <x:v>Research C / patient complaints and identification failures</x:v>
      </x:c>
      <x:c r="D491" s="19" t="str">
        <x:v>metric</x:v>
      </x:c>
      <x:c r="E491" s="19" t="str">
        <x:v>M003</x:v>
      </x:c>
      <x:c r="F491" s="19" t="str">
        <x:v>S018</x:v>
      </x:c>
      <x:c r="G491" s="19" t="str">
        <x:v>Taya’s Story</x:v>
      </x:c>
      <x:c r="H491" s="19" t="str">
        <x:v>https://www.endometriosis-uk.org/tayas-story</x:v>
      </x:c>
      <x:c r="I491" s="19" t="str">
        <x:v>UK</x:v>
      </x:c>
      <x:c r="J491" s="19" t="str">
        <x:v>GP to specialist gynecology</x:v>
      </x:c>
      <x:c r="K491" s="19" t="str"/>
      <x:c r="L491" s="19" t="str">
        <x:v>symptom tracking before endometriosis diagnosis</x:v>
      </x:c>
      <x:c r="M491" s="19" t="str"/>
      <x:c r="N491" s="19" t="str">
        <x:v>symptom tracking before endometriosis diagnosis</x:v>
      </x:c>
      <x:c r="O491" s="19" t="str">
        <x:v>Shows patient self-documentation burden and long delay.</x:v>
      </x:c>
      <x:c r="P491" s="19" t="str"/>
      <x:c r="Q491" s="19" t="str">
        <x:v>story period</x:v>
      </x:c>
      <x:c r="R491" s="19" t="str"/>
      <x:c r="S491" s="19" t="str">
        <x:v>medium</x:v>
      </x:c>
      <x:c r="T491" s="19" t="str">
        <x:v>02_extracted_evidence/statistics_or_metrics.csv</x:v>
      </x:c>
      <x:c r="U491" s="19" t="str">
        <x:v>research_evidence_package_patient_complaints_identification_failures_2026-05-30.tar.gz::02_extracted_evidence/statistics_or_metrics.csv::M003</x:v>
      </x:c>
    </x:row>
    <x:row r="492">
      <x:c r="A492" s="19" t="str">
        <x:v>C_complaints</x:v>
      </x:c>
      <x:c r="B492" s="19" t="str">
        <x:v>research_evidence_package_patient_complaints_identification_failures_2026-05-30.tar.gz</x:v>
      </x:c>
      <x:c r="C492" s="19" t="str">
        <x:v>Research C / patient complaints and identification failures</x:v>
      </x:c>
      <x:c r="D492" s="19" t="str">
        <x:v>metric</x:v>
      </x:c>
      <x:c r="E492" s="19" t="str">
        <x:v>M004</x:v>
      </x:c>
      <x:c r="F492" s="19" t="str">
        <x:v>S020</x:v>
      </x:c>
      <x:c r="G492" s="19" t="str">
        <x:v>Dipika’s Story</x:v>
      </x:c>
      <x:c r="H492" s="19" t="str">
        <x:v>https://www.endometriosis-uk.org/dipikas-story</x:v>
      </x:c>
      <x:c r="I492" s="19" t="str">
        <x:v>UK</x:v>
      </x:c>
      <x:c r="J492" s="19" t="str">
        <x:v>primary care to gynecology</x:v>
      </x:c>
      <x:c r="K492" s="19" t="str"/>
      <x:c r="L492" s="19" t="str">
        <x:v>endometriosis diagnostic delay</x:v>
      </x:c>
      <x:c r="M492" s="19" t="str"/>
      <x:c r="N492" s="19" t="str">
        <x:v>endometriosis diagnostic delay</x:v>
      </x:c>
      <x:c r="O492" s="19" t="str">
        <x:v>Shows very long chronic condition invalidation.</x:v>
      </x:c>
      <x:c r="P492" s="19" t="str"/>
      <x:c r="Q492" s="19" t="str">
        <x:v>story period</x:v>
      </x:c>
      <x:c r="R492" s="19" t="str"/>
      <x:c r="S492" s="19" t="str">
        <x:v>medium</x:v>
      </x:c>
      <x:c r="T492" s="19" t="str">
        <x:v>02_extracted_evidence/statistics_or_metrics.csv</x:v>
      </x:c>
      <x:c r="U492" s="19" t="str">
        <x:v>research_evidence_package_patient_complaints_identification_failures_2026-05-30.tar.gz::02_extracted_evidence/statistics_or_metrics.csv::M004</x:v>
      </x:c>
    </x:row>
    <x:row r="493">
      <x:c r="A493" s="19" t="str">
        <x:v>C_complaints</x:v>
      </x:c>
      <x:c r="B493" s="19" t="str">
        <x:v>research_evidence_package_patient_complaints_identification_failures_2026-05-30.tar.gz</x:v>
      </x:c>
      <x:c r="C493" s="19" t="str">
        <x:v>Research C / patient complaints and identification failures</x:v>
      </x:c>
      <x:c r="D493" s="19" t="str">
        <x:v>metric</x:v>
      </x:c>
      <x:c r="E493" s="19" t="str">
        <x:v>M005</x:v>
      </x:c>
      <x:c r="F493" s="19" t="str">
        <x:v>S022</x:v>
      </x:c>
      <x:c r="G493" s="19" t="str">
        <x:v>Debbie Cameron, Merseyside</x:v>
      </x:c>
      <x:c r="H493" s="19" t="str">
        <x:v>https://www.bowelcanceruk.org.uk/how-we-can-help/real-life-stories/personal-experiences/debbie-cameron%2C-merseyside/</x:v>
      </x:c>
      <x:c r="I493" s="19" t="str">
        <x:v>England, UK</x:v>
      </x:c>
      <x:c r="J493" s="19" t="str">
        <x:v>primary care/screening/colonoscopy</x:v>
      </x:c>
      <x:c r="K493" s="19" t="str"/>
      <x:c r="L493" s="19" t="str">
        <x:v>blood in stool to bowel cancer diagnosis</x:v>
      </x:c>
      <x:c r="M493" s="19" t="str"/>
      <x:c r="N493" s="19" t="str">
        <x:v>blood in stool to bowel cancer diagnosis</x:v>
      </x:c>
      <x:c r="O493" s="19" t="str">
        <x:v>Shows red-flag symptom delay.</x:v>
      </x:c>
      <x:c r="P493" s="19" t="str"/>
      <x:c r="Q493" s="19" t="str">
        <x:v>Feb 2017 to Jan 2018</x:v>
      </x:c>
      <x:c r="R493" s="19" t="str"/>
      <x:c r="S493" s="19" t="str">
        <x:v>medium</x:v>
      </x:c>
      <x:c r="T493" s="19" t="str">
        <x:v>02_extracted_evidence/statistics_or_metrics.csv</x:v>
      </x:c>
      <x:c r="U493" s="19" t="str">
        <x:v>research_evidence_package_patient_complaints_identification_failures_2026-05-30.tar.gz::02_extracted_evidence/statistics_or_metrics.csv::M005</x:v>
      </x:c>
    </x:row>
    <x:row r="494">
      <x:c r="A494" s="19" t="str">
        <x:v>C_complaints</x:v>
      </x:c>
      <x:c r="B494" s="19" t="str">
        <x:v>research_evidence_package_patient_complaints_identification_failures_2026-05-30.tar.gz</x:v>
      </x:c>
      <x:c r="C494" s="19" t="str">
        <x:v>Research C / patient complaints and identification failures</x:v>
      </x:c>
      <x:c r="D494" s="19" t="str">
        <x:v>metric</x:v>
      </x:c>
      <x:c r="E494" s="19" t="str">
        <x:v>M006</x:v>
      </x:c>
      <x:c r="F494" s="19" t="str">
        <x:v>S025</x:v>
      </x:c>
      <x:c r="G494" s="19" t="str">
        <x:v>22-year-old diagnosed with terminal cancer after symptoms dismissed</x:v>
      </x:c>
      <x:c r="H494" s="19" t="str">
        <x:v>https://people.com/22-year-old-diagnosed-with-terminal-cancer-after-docs-dismiss-symptoms-11855746</x:v>
      </x:c>
      <x:c r="I494" s="19" t="str">
        <x:v>England, UK</x:v>
      </x:c>
      <x:c r="J494" s="19" t="str">
        <x:v>GP/A&amp;E/imaging/oncology</x:v>
      </x:c>
      <x:c r="K494" s="19" t="str"/>
      <x:c r="L494" s="19" t="str">
        <x:v>severe back pain to rare cancer diagnosis</x:v>
      </x:c>
      <x:c r="M494" s="19" t="str"/>
      <x:c r="N494" s="19" t="str">
        <x:v>severe back pain to rare cancer diagnosis</x:v>
      </x:c>
      <x:c r="O494" s="19" t="str">
        <x:v>Shows repeated pain presentations before imaging diagnosis.</x:v>
      </x:c>
      <x:c r="P494" s="19" t="str"/>
      <x:c r="Q494" s="19" t="str">
        <x:v>Nov 2024 to Apr 2025</x:v>
      </x:c>
      <x:c r="R494" s="19" t="str"/>
      <x:c r="S494" s="19" t="str">
        <x:v>low-medium</x:v>
      </x:c>
      <x:c r="T494" s="19" t="str">
        <x:v>02_extracted_evidence/statistics_or_metrics.csv</x:v>
      </x:c>
      <x:c r="U494" s="19" t="str">
        <x:v>research_evidence_package_patient_complaints_identification_failures_2026-05-30.tar.gz::02_extracted_evidence/statistics_or_metrics.csv::M006</x:v>
      </x:c>
    </x:row>
    <x:row r="495">
      <x:c r="A495" s="19" t="str">
        <x:v>C_complaints</x:v>
      </x:c>
      <x:c r="B495" s="19" t="str">
        <x:v>research_evidence_package_patient_complaints_identification_failures_2026-05-30.tar.gz</x:v>
      </x:c>
      <x:c r="C495" s="19" t="str">
        <x:v>Research C / patient complaints and identification failures</x:v>
      </x:c>
      <x:c r="D495" s="19" t="str">
        <x:v>fact</x:v>
      </x:c>
      <x:c r="E495" s="19" t="str">
        <x:v>F001</x:v>
      </x:c>
      <x:c r="F495" s="19" t="str">
        <x:v>S029</x:v>
      </x:c>
      <x:c r="G495" s="19" t="str">
        <x:v>Use of patient complaints to identify diagnosis-related safety concerns</x:v>
      </x:c>
      <x:c r="H495" s="19" t="str">
        <x:v>https://psnet.ahrq.gov/issue/use-patient-complaints-identify-diagnosis-related-safety-concerns-mixed-method-evaluation</x:v>
      </x:c>
      <x:c r="I495" s="19" t="str">
        <x:v>United States / general</x:v>
      </x:c>
      <x:c r="J495" s="19" t="str">
        <x:v>complaint review / diagnostic safety</x:v>
      </x:c>
      <x:c r="K495" s="19" t="str">
        <x:v>complaint mining</x:v>
      </x:c>
      <x:c r="L495" s="19" t="str"/>
      <x:c r="M495" s="19" t="str">
        <x:v>complaint mining</x:v>
      </x:c>
      <x:c r="N495" s="19" t="str">
        <x:v>Patient complaints can reveal diagnosis-related safety concerns including return visits, interpersonal issues, and diagnostic testing problems.</x:v>
      </x:c>
      <x:c r="O495" s="19" t="str">
        <x:v>AHRQ PSNet summary of BMJ Quality &amp; Safety complaint-analysis study.</x:v>
      </x:c>
      <x:c r="P495" s="19" t="str"/>
      <x:c r="Q495" s="19" t="str"/>
      <x:c r="R495" s="19" t="str"/>
      <x:c r="S495" s="19" t="str">
        <x:v>high</x:v>
      </x:c>
      <x:c r="T495" s="19" t="str">
        <x:v>02_extracted_evidence/facts.csv</x:v>
      </x:c>
      <x:c r="U495" s="19" t="str">
        <x:v>research_evidence_package_patient_complaints_identification_failures_2026-05-30.tar.gz::02_extracted_evidence/facts.csv::F001</x:v>
      </x:c>
    </x:row>
    <x:row r="496">
      <x:c r="A496" s="19" t="str">
        <x:v>C_complaints</x:v>
      </x:c>
      <x:c r="B496" s="19" t="str">
        <x:v>research_evidence_package_patient_complaints_identification_failures_2026-05-30.tar.gz</x:v>
      </x:c>
      <x:c r="C496" s="19" t="str">
        <x:v>Research C / patient complaints and identification failures</x:v>
      </x:c>
      <x:c r="D496" s="19" t="str">
        <x:v>fact</x:v>
      </x:c>
      <x:c r="E496" s="19" t="str">
        <x:v>F002</x:v>
      </x:c>
      <x:c r="F496" s="19" t="str">
        <x:v>S011</x:v>
      </x:c>
      <x:c r="G496" s="19" t="str">
        <x:v>Continuity of care: delayed diagnosis in GP practices</x:v>
      </x:c>
      <x:c r="H496" s="19" t="str">
        <x:v>https://www.hssib.org.uk/patient-safety-investigations/continuity-of-care-delayed-diagnosis-in-gp-practices/investigation-report/</x:v>
      </x:c>
      <x:c r="I496" s="19" t="str">
        <x:v>England, UK</x:v>
      </x:c>
      <x:c r="J496" s="19" t="str">
        <x:v>GP, out-of-hours, ED</x:v>
      </x:c>
      <x:c r="K496" s="19" t="str">
        <x:v>continuity failure</x:v>
      </x:c>
      <x:c r="L496" s="19" t="str"/>
      <x:c r="M496" s="19" t="str">
        <x:v>continuity failure</x:v>
      </x:c>
      <x:c r="N496" s="19" t="str">
        <x:v>HSSIB found delayed diagnosis risk in GP practices can involve repeated contacts, continuity gaps, and IT limitations.</x:v>
      </x:c>
      <x:c r="O496" s="19" t="str">
        <x:v>Brian case and national investigation on continuity of care.</x:v>
      </x:c>
      <x:c r="P496" s="19" t="str"/>
      <x:c r="Q496" s="19" t="str"/>
      <x:c r="R496" s="19" t="str"/>
      <x:c r="S496" s="19" t="str">
        <x:v>high</x:v>
      </x:c>
      <x:c r="T496" s="19" t="str">
        <x:v>02_extracted_evidence/facts.csv</x:v>
      </x:c>
      <x:c r="U496" s="19" t="str">
        <x:v>research_evidence_package_patient_complaints_identification_failures_2026-05-30.tar.gz::02_extracted_evidence/facts.csv::F002</x:v>
      </x:c>
    </x:row>
    <x:row r="497">
      <x:c r="A497" s="19" t="str">
        <x:v>C_complaints</x:v>
      </x:c>
      <x:c r="B497" s="19" t="str">
        <x:v>research_evidence_package_patient_complaints_identification_failures_2026-05-30.tar.gz</x:v>
      </x:c>
      <x:c r="C497" s="19" t="str">
        <x:v>Research C / patient complaints and identification failures</x:v>
      </x:c>
      <x:c r="D497" s="19" t="str">
        <x:v>fact</x:v>
      </x:c>
      <x:c r="E497" s="19" t="str">
        <x:v>F003</x:v>
      </x:c>
      <x:c r="F497" s="19" t="str">
        <x:v>S015</x:v>
      </x:c>
      <x:c r="G497" s="19" t="str">
        <x:v>Follow-up of test results</x:v>
      </x:c>
      <x:c r="H497" s="19" t="str">
        <x:v>https://www.hdc.org.nz/news-resources/search-resources/articles/follow-up-of-test-results/</x:v>
      </x:c>
      <x:c r="I497" s="19" t="str">
        <x:v>New Zealand</x:v>
      </x:c>
      <x:c r="J497" s="19" t="str">
        <x:v>primary and secondary care</x:v>
      </x:c>
      <x:c r="K497" s="19" t="str">
        <x:v>result follow-up</x:v>
      </x:c>
      <x:c r="L497" s="19" t="str"/>
      <x:c r="M497" s="19" t="str">
        <x:v>result follow-up</x:v>
      </x:c>
      <x:c r="N497" s="19" t="str">
        <x:v>HDC guidance emphasizes responsibility for follow-up of abnormal test results and patient communication.</x:v>
      </x:c>
      <x:c r="O497" s="19" t="str">
        <x:v>Follow-up of test results article.</x:v>
      </x:c>
      <x:c r="P497" s="19" t="str"/>
      <x:c r="Q497" s="19" t="str"/>
      <x:c r="R497" s="19" t="str"/>
      <x:c r="S497" s="19" t="str">
        <x:v>high</x:v>
      </x:c>
      <x:c r="T497" s="19" t="str">
        <x:v>02_extracted_evidence/facts.csv</x:v>
      </x:c>
      <x:c r="U497" s="19" t="str">
        <x:v>research_evidence_package_patient_complaints_identification_failures_2026-05-30.tar.gz::02_extracted_evidence/facts.csv::F003</x:v>
      </x:c>
    </x:row>
    <x:row r="498">
      <x:c r="A498" s="19" t="str">
        <x:v>C_complaints</x:v>
      </x:c>
      <x:c r="B498" s="19" t="str">
        <x:v>research_evidence_package_patient_complaints_identification_failures_2026-05-30.tar.gz</x:v>
      </x:c>
      <x:c r="C498" s="19" t="str">
        <x:v>Research C / patient complaints and identification failures</x:v>
      </x:c>
      <x:c r="D498" s="19" t="str">
        <x:v>fact</x:v>
      </x:c>
      <x:c r="E498" s="19" t="str">
        <x:v>F004</x:v>
      </x:c>
      <x:c r="F498" s="19" t="str">
        <x:v>S036</x:v>
      </x:c>
      <x:c r="G498" s="19" t="str">
        <x:v>Martha’s Rule</x:v>
      </x:c>
      <x:c r="H498" s="19" t="str">
        <x:v>https://www.england.nhs.uk/patient-safety/marthas-rule/</x:v>
      </x:c>
      <x:c r="I498" s="19" t="str">
        <x:v>England, UK</x:v>
      </x:c>
      <x:c r="J498" s="19" t="str">
        <x:v>inpatient acute care</x:v>
      </x:c>
      <x:c r="K498" s="19" t="str">
        <x:v>patient/family escalation</x:v>
      </x:c>
      <x:c r="L498" s="19" t="str"/>
      <x:c r="M498" s="19" t="str">
        <x:v>patient/family escalation</x:v>
      </x:c>
      <x:c r="N498" s="19" t="str">
        <x:v>Martha’s Rule creates a rapid review route when patients, families, or carers feel deterioration concerns are not being answered.</x:v>
      </x:c>
      <x:c r="O498" s="19" t="str">
        <x:v>NHS England current patient safety initiative.</x:v>
      </x:c>
      <x:c r="P498" s="19" t="str"/>
      <x:c r="Q498" s="19" t="str"/>
      <x:c r="R498" s="19" t="str"/>
      <x:c r="S498" s="19" t="str">
        <x:v>high</x:v>
      </x:c>
      <x:c r="T498" s="19" t="str">
        <x:v>02_extracted_evidence/facts.csv</x:v>
      </x:c>
      <x:c r="U498" s="19" t="str">
        <x:v>research_evidence_package_patient_complaints_identification_failures_2026-05-30.tar.gz::02_extracted_evidence/facts.csv::F004</x:v>
      </x:c>
    </x:row>
    <x:row r="499">
      <x:c r="A499" s="19" t="str">
        <x:v>C_complaints</x:v>
      </x:c>
      <x:c r="B499" s="19" t="str">
        <x:v>research_evidence_package_patient_complaints_identification_failures_2026-05-30.tar.gz</x:v>
      </x:c>
      <x:c r="C499" s="19" t="str">
        <x:v>Research C / patient complaints and identification failures</x:v>
      </x:c>
      <x:c r="D499" s="19" t="str">
        <x:v>fact</x:v>
      </x:c>
      <x:c r="E499" s="19" t="str">
        <x:v>F005</x:v>
      </x:c>
      <x:c r="F499" s="19" t="str">
        <x:v>S031</x:v>
      </x:c>
      <x:c r="G499" s="19" t="str">
        <x:v>Diagnostic Errors in the Emergency Department</x:v>
      </x:c>
      <x:c r="H499" s="19" t="str">
        <x:v>https://www.ncbi.nlm.nih.gov/sites/books/NBK588118/</x:v>
      </x:c>
      <x:c r="I499" s="19" t="str">
        <x:v>US / international evidence base</x:v>
      </x:c>
      <x:c r="J499" s="19" t="str">
        <x:v>emergency department</x:v>
      </x:c>
      <x:c r="K499" s="19" t="str">
        <x:v>diagnostic error</x:v>
      </x:c>
      <x:c r="L499" s="19" t="str"/>
      <x:c r="M499" s="19" t="str">
        <x:v>diagnostic error</x:v>
      </x:c>
      <x:c r="N499" s="19" t="str">
        <x:v>Emergency departments are a recognized setting for diagnostic error and delayed/missed diagnosis research.</x:v>
      </x:c>
      <x:c r="O499" s="19" t="str">
        <x:v>AHRQ/NCBI systematic review on ED diagnostic errors.</x:v>
      </x:c>
      <x:c r="P499" s="19" t="str"/>
      <x:c r="Q499" s="19" t="str"/>
      <x:c r="R499" s="19" t="str"/>
      <x:c r="S499" s="19" t="str">
        <x:v>high</x:v>
      </x:c>
      <x:c r="T499" s="19" t="str">
        <x:v>02_extracted_evidence/facts.csv</x:v>
      </x:c>
      <x:c r="U499" s="19" t="str">
        <x:v>research_evidence_package_patient_complaints_identification_failures_2026-05-30.tar.gz::02_extracted_evidence/facts.csv::F005</x:v>
      </x:c>
    </x:row>
    <x:row r="500">
      <x:c r="A500" s="19" t="str">
        <x:v>C_complaints</x:v>
      </x:c>
      <x:c r="B500" s="19" t="str">
        <x:v>research_evidence_package_patient_complaints_identification_failures_2026-05-30.tar.gz</x:v>
      </x:c>
      <x:c r="C500" s="19" t="str">
        <x:v>Research C / patient complaints and identification failures</x:v>
      </x:c>
      <x:c r="D500" s="19" t="str">
        <x:v>fact</x:v>
      </x:c>
      <x:c r="E500" s="19" t="str">
        <x:v>F006</x:v>
      </x:c>
      <x:c r="F500" s="19" t="str">
        <x:v>S032</x:v>
      </x:c>
      <x:c r="G500" s="19" t="str">
        <x:v>When doctors dismiss symptoms, patients suffer lasting harm</x:v>
      </x:c>
      <x:c r="H500" s="19" t="str">
        <x:v>https://rutgershealth.org/news/when-doctors-dismiss-symptoms-patients-suffer-lasting-harm</x:v>
      </x:c>
      <x:c r="I500" s="19" t="str">
        <x:v>international</x:v>
      </x:c>
      <x:c r="J500" s="19" t="str">
        <x:v>chronic/difficult-to-diagnose conditions</x:v>
      </x:c>
      <x:c r="K500" s="19" t="str">
        <x:v>invalidation harm</x:v>
      </x:c>
      <x:c r="L500" s="19" t="str"/>
      <x:c r="M500" s="19" t="str">
        <x:v>invalidation harm</x:v>
      </x:c>
      <x:c r="N500" s="19" t="str">
        <x:v>Symptom invalidation in difficult-to-diagnose chronic conditions can cause lasting psychological and care-seeking harms.</x:v>
      </x:c>
      <x:c r="O500" s="19" t="str">
        <x:v>Rutgers Health summary of review of qualitative studies.</x:v>
      </x:c>
      <x:c r="P500" s="19" t="str"/>
      <x:c r="Q500" s="19" t="str"/>
      <x:c r="R500" s="19" t="str"/>
      <x:c r="S500" s="19" t="str">
        <x:v>high</x:v>
      </x:c>
      <x:c r="T500" s="19" t="str">
        <x:v>02_extracted_evidence/facts.csv</x:v>
      </x:c>
      <x:c r="U500" s="19" t="str">
        <x:v>research_evidence_package_patient_complaints_identification_failures_2026-05-30.tar.gz::02_extracted_evidence/facts.csv::F006</x:v>
      </x:c>
    </x:row>
    <x:row r="501">
      <x:c r="A501" s="19" t="str">
        <x:v>C_complaints</x:v>
      </x:c>
      <x:c r="B501" s="19" t="str">
        <x:v>research_evidence_package_patient_complaints_identification_failures_2026-05-30.tar.gz</x:v>
      </x:c>
      <x:c r="C501" s="19" t="str">
        <x:v>Research C / patient complaints and identification failures</x:v>
      </x:c>
      <x:c r="D501" s="19" t="str">
        <x:v>fact</x:v>
      </x:c>
      <x:c r="E501" s="19" t="str">
        <x:v>F007</x:v>
      </x:c>
      <x:c r="F501" s="19" t="str">
        <x:v>S024</x:v>
      </x:c>
      <x:c r="G501" s="19" t="str">
        <x:v>Never Too Young campaign</x:v>
      </x:c>
      <x:c r="H501" s="19" t="str">
        <x:v>https://www.bowelcanceruk.org.uk/campaigning/never-too-young/never-too-young-the-campaign/</x:v>
      </x:c>
      <x:c r="I501" s="19" t="str">
        <x:v>UK</x:v>
      </x:c>
      <x:c r="J501" s="19" t="str">
        <x:v>primary care/referral</x:v>
      </x:c>
      <x:c r="K501" s="19" t="str">
        <x:v>younger bowel cancer delay</x:v>
      </x:c>
      <x:c r="L501" s="19" t="str"/>
      <x:c r="M501" s="19" t="str">
        <x:v>younger bowel cancer delay</x:v>
      </x:c>
      <x:c r="N501" s="19" t="str">
        <x:v>Bowel Cancer UK reports repeated GP visits and family-history gaps among younger bowel-cancer diagnostic experiences.</x:v>
      </x:c>
      <x:c r="O501" s="19" t="str">
        <x:v>Never Too Young campaign page.</x:v>
      </x:c>
      <x:c r="P501" s="19" t="str"/>
      <x:c r="Q501" s="19" t="str"/>
      <x:c r="R501" s="19" t="str"/>
      <x:c r="S501" s="19" t="str">
        <x:v>medium</x:v>
      </x:c>
      <x:c r="T501" s="19" t="str">
        <x:v>02_extracted_evidence/facts.csv</x:v>
      </x:c>
      <x:c r="U501" s="19" t="str">
        <x:v>research_evidence_package_patient_complaints_identification_failures_2026-05-30.tar.gz::02_extracted_evidence/facts.csv::F007</x:v>
      </x:c>
    </x:row>
    <x:row r="502">
      <x:c r="A502" s="19" t="str">
        <x:v>C_complaints</x:v>
      </x:c>
      <x:c r="B502" s="19" t="str">
        <x:v>research_evidence_package_patient_complaints_identification_failures_2026-05-30.tar.gz</x:v>
      </x:c>
      <x:c r="C502" s="19" t="str">
        <x:v>Research C / patient complaints and identification failures</x:v>
      </x:c>
      <x:c r="D502" s="19" t="str">
        <x:v>fact</x:v>
      </x:c>
      <x:c r="E502" s="19" t="str">
        <x:v>F008</x:v>
      </x:c>
      <x:c r="F502" s="19" t="str">
        <x:v>S028</x:v>
      </x:c>
      <x:c r="G502" s="19" t="str">
        <x:v>Being sick to a cancer patient: pathways and system delay in South India</x:v>
      </x:c>
      <x:c r="H502" s="19" t="str">
        <x:v>https://link.springer.com/article/10.1007/s40847-022-00221-0</x:v>
      </x:c>
      <x:c r="I502" s="19" t="str">
        <x:v>Bengaluru, South India</x:v>
      </x:c>
      <x:c r="J502" s="19" t="str">
        <x:v>cancer help-seeking/referral</x:v>
      </x:c>
      <x:c r="K502" s="19" t="str">
        <x:v>cancer diagnostic delay</x:v>
      </x:c>
      <x:c r="L502" s="19" t="str"/>
      <x:c r="M502" s="19" t="str">
        <x:v>cancer diagnostic delay</x:v>
      </x:c>
      <x:c r="N502" s="19" t="str">
        <x:v>South India cancer-delay study identified patient, family, practitioner, and system-level delay factors including access and referral barriers.</x:v>
      </x:c>
      <x:c r="O502" s="19" t="str">
        <x:v>Peer-reviewed qualitative study in Bengaluru.</x:v>
      </x:c>
      <x:c r="P502" s="19" t="str"/>
      <x:c r="Q502" s="19" t="str"/>
      <x:c r="R502" s="19" t="str"/>
      <x:c r="S502" s="19" t="str">
        <x:v>high</x:v>
      </x:c>
      <x:c r="T502" s="19" t="str">
        <x:v>02_extracted_evidence/facts.csv</x:v>
      </x:c>
      <x:c r="U502" s="19" t="str">
        <x:v>research_evidence_package_patient_complaints_identification_failures_2026-05-30.tar.gz::02_extracted_evidence/facts.csv::F008</x:v>
      </x:c>
    </x:row>
    <x:row r="503">
      <x:c r="A503" s="19" t="str">
        <x:v>C_complaints</x:v>
      </x:c>
      <x:c r="B503" s="19" t="str">
        <x:v>research_evidence_package_patient_complaints_identification_failures_2026-05-30.tar.gz</x:v>
      </x:c>
      <x:c r="C503" s="19" t="str">
        <x:v>Research C / patient complaints and identification failures</x:v>
      </x:c>
      <x:c r="D503" s="19" t="str">
        <x:v>fact</x:v>
      </x:c>
      <x:c r="E503" s="19" t="str">
        <x:v>F009</x:v>
      </x:c>
      <x:c r="F503" s="19" t="str">
        <x:v>S033</x:v>
      </x:c>
      <x:c r="G503" s="19" t="str">
        <x:v>Delayed Diagnosis in the Setting of Virtual Care</x:v>
      </x:c>
      <x:c r="H503" s="19" t="str">
        <x:v>https://psnet.ahrq.gov/web-mm/delayed-diagnosis-setting-virtual-care-remembering-physical-examination</x:v>
      </x:c>
      <x:c r="I503" s="19" t="str">
        <x:v>United States</x:v>
      </x:c>
      <x:c r="J503" s="19" t="str">
        <x:v>telehealth</x:v>
      </x:c>
      <x:c r="K503" s="19" t="str">
        <x:v>telehealth limitation</x:v>
      </x:c>
      <x:c r="L503" s="19" t="str"/>
      <x:c r="M503" s="19" t="str">
        <x:v>telehealth limitation</x:v>
      </x:c>
      <x:c r="N503" s="19" t="str">
        <x:v>Virtual care diagnostic safety depends on recognizing physical examination limitations and ensuring in-person alternatives.</x:v>
      </x:c>
      <x:c r="O503" s="19" t="str">
        <x:v>AHRQ PSNet case review.</x:v>
      </x:c>
      <x:c r="P503" s="19" t="str"/>
      <x:c r="Q503" s="19" t="str"/>
      <x:c r="R503" s="19" t="str"/>
      <x:c r="S503" s="19" t="str">
        <x:v>high</x:v>
      </x:c>
      <x:c r="T503" s="19" t="str">
        <x:v>02_extracted_evidence/facts.csv</x:v>
      </x:c>
      <x:c r="U503" s="19" t="str">
        <x:v>research_evidence_package_patient_complaints_identification_failures_2026-05-30.tar.gz::02_extracted_evidence/facts.csv::F009</x:v>
      </x:c>
    </x:row>
    <x:row r="504">
      <x:c r="A504" s="19" t="str">
        <x:v>C_complaints</x:v>
      </x:c>
      <x:c r="B504" s="19" t="str">
        <x:v>research_evidence_package_patient_complaints_identification_failures_2026-05-30.tar.gz</x:v>
      </x:c>
      <x:c r="C504" s="19" t="str">
        <x:v>Research C / patient complaints and identification failures</x:v>
      </x:c>
      <x:c r="D504" s="19" t="str">
        <x:v>fact</x:v>
      </x:c>
      <x:c r="E504" s="19" t="str">
        <x:v>F010</x:v>
      </x:c>
      <x:c r="F504" s="19" t="str">
        <x:v>S013</x:v>
      </x:c>
      <x:c r="G504" s="19" t="str">
        <x:v>Delayed diagnosis of cancer due to missed histology results</x:v>
      </x:c>
      <x:c r="H504" s="19" t="str">
        <x:v>https://www.hdc.org.nz/decisions/search-decisions/2025/22hdc02105/</x:v>
      </x:c>
      <x:c r="I504" s="19" t="str">
        <x:v>New Zealand</x:v>
      </x:c>
      <x:c r="J504" s="19" t="str">
        <x:v>secondary hospital / shared system</x:v>
      </x:c>
      <x:c r="K504" s="19" t="str">
        <x:v>abnormal result not followed up</x:v>
      </x:c>
      <x:c r="L504" s="19" t="str"/>
      <x:c r="M504" s="19" t="str">
        <x:v>abnormal result not followed up</x:v>
      </x:c>
      <x:c r="N504" s="19" t="str">
        <x:v>A positive prostate cancer histology result was not actioned for about six months due to shared-system understanding gaps.</x:v>
      </x:c>
      <x:c r="O504" s="19" t="str">
        <x:v>HDC decision.</x:v>
      </x:c>
      <x:c r="P504" s="19" t="str"/>
      <x:c r="Q504" s="19" t="str"/>
      <x:c r="R504" s="19" t="str"/>
      <x:c r="S504" s="19" t="str">
        <x:v>high</x:v>
      </x:c>
      <x:c r="T504" s="19" t="str">
        <x:v>02_extracted_evidence/facts.csv</x:v>
      </x:c>
      <x:c r="U504" s="19" t="str">
        <x:v>research_evidence_package_patient_complaints_identification_failures_2026-05-30.tar.gz::02_extracted_evidence/facts.csv::F010</x:v>
      </x:c>
    </x:row>
    <x:row r="505">
      <x:c r="A505" s="19" t="str">
        <x:v>A_flows</x:v>
      </x:c>
      <x:c r="B505" s="19" t="str">
        <x:v>research_evidence_package_health_system_patient_flows_2026-05-30.tar.gz</x:v>
      </x:c>
      <x:c r="C505" s="19" t="str">
        <x:v>Research A / health-system patient flows</x:v>
      </x:c>
      <x:c r="D505" s="19" t="str">
        <x:v>flow_map</x:v>
      </x:c>
      <x:c r="E505" s="19" t="str">
        <x:v>FM01</x:v>
      </x:c>
      <x:c r="F505" s="19" t="str"/>
      <x:c r="G505" s="19" t="str"/>
      <x:c r="H505" s="19" t="str">
        <x:v>https://media.emscimprovement.center/documents/Emergency_Severity_Index_Handbook.pdf
https://www.ncbi.nlm.nih.gov/books/NBK588197/</x:v>
      </x:c>
      <x:c r="I505" s="19" t="str">
        <x:v>US/international</x:v>
      </x:c>
      <x:c r="J505" s="19" t="str">
        <x:v>Emergency department</x:v>
      </x:c>
      <x:c r="K505" s="19" t="str"/>
      <x:c r="L505" s="19" t="str"/>
      <x:c r="M505" s="19" t="str">
        <x:v>triage downgrade if complex but stable; pre-triage queue; prior visits not visible</x:v>
      </x:c>
      <x:c r="N505" s="19" t="str">
        <x:v>Arrival -&gt; registration -&gt; triage RN applies ESI decision A/B/C/D -&gt; waiting/treatment area -&gt; provider assessment -&gt; labs/imaging/consults -&gt; disposition</x:v>
      </x:c>
      <x:c r="O505" s="19" t="str"/>
      <x:c r="P505" s="19" t="str"/>
      <x:c r="Q505" s="19" t="str"/>
      <x:c r="R505" s="19" t="str"/>
      <x:c r="S505" s="19" t="str">
        <x:v>high</x:v>
      </x:c>
      <x:c r="T505" s="19" t="str">
        <x:v>04_topic_outputs/diagrams_or_flows/flow_maps.csv</x:v>
      </x:c>
      <x:c r="U505" s="19" t="str">
        <x:v>research_evidence_package_health_system_patient_flows_2026-05-30.tar.gz::04_topic_outputs/diagrams_or_flows/flow_maps.csv::FM01</x:v>
      </x:c>
    </x:row>
    <x:row r="506">
      <x:c r="A506" s="19" t="str">
        <x:v>A_flows</x:v>
      </x:c>
      <x:c r="B506" s="19" t="str">
        <x:v>research_evidence_package_health_system_patient_flows_2026-05-30.tar.gz</x:v>
      </x:c>
      <x:c r="C506" s="19" t="str">
        <x:v>Research A / health-system patient flows</x:v>
      </x:c>
      <x:c r="D506" s="19" t="str">
        <x:v>flow_map</x:v>
      </x:c>
      <x:c r="E506" s="19" t="str">
        <x:v>FM02</x:v>
      </x:c>
      <x:c r="F506" s="19" t="str"/>
      <x:c r="G506" s="19" t="str"/>
      <x:c r="H506" s="19" t="str">
        <x:v>https://www.england.nhs.uk/guidance-for-emergency-departments-initial-assessment/
https://rcem.ac.uk/wp-content/uploads/2025/04/Initial-Assessment.pdf</x:v>
      </x:c>
      <x:c r="I506" s="19" t="str">
        <x:v>England</x:v>
      </x:c>
      <x:c r="J506" s="19" t="str">
        <x:v>Emergency department</x:v>
      </x:c>
      <x:c r="K506" s="19" t="str"/>
      <x:c r="L506" s="19" t="str"/>
      <x:c r="M506" s="19" t="str">
        <x:v>occult waits before registration; unsafe redirection; poor handoff between services</x:v>
      </x:c>
      <x:c r="N506" s="19" t="str">
        <x:v>Arrival -&gt; register -&gt; initial assessment: streaming/triage/RAT -&gt; ED, UTC, SDEC/specialty, or off-site service -&gt; ongoing treatment/discharge</x:v>
      </x:c>
      <x:c r="O506" s="19" t="str"/>
      <x:c r="P506" s="19" t="str"/>
      <x:c r="Q506" s="19" t="str"/>
      <x:c r="R506" s="19" t="str"/>
      <x:c r="S506" s="19" t="str">
        <x:v>high</x:v>
      </x:c>
      <x:c r="T506" s="19" t="str">
        <x:v>04_topic_outputs/diagrams_or_flows/flow_maps.csv</x:v>
      </x:c>
      <x:c r="U506" s="19" t="str">
        <x:v>research_evidence_package_health_system_patient_flows_2026-05-30.tar.gz::04_topic_outputs/diagrams_or_flows/flow_maps.csv::FM02</x:v>
      </x:c>
    </x:row>
    <x:row r="507">
      <x:c r="A507" s="19" t="str">
        <x:v>A_flows</x:v>
      </x:c>
      <x:c r="B507" s="19" t="str">
        <x:v>research_evidence_package_health_system_patient_flows_2026-05-30.tar.gz</x:v>
      </x:c>
      <x:c r="C507" s="19" t="str">
        <x:v>Research A / health-system patient flows</x:v>
      </x:c>
      <x:c r="D507" s="19" t="str">
        <x:v>flow_map</x:v>
      </x:c>
      <x:c r="E507" s="19" t="str">
        <x:v>FM03</x:v>
      </x:c>
      <x:c r="F507" s="19" t="str"/>
      <x:c r="G507" s="19" t="str"/>
      <x:c r="H507" s="19" t="str">
        <x:v>https://www.ahrq.gov/sites/default/files/wysiwyg/professionals/quality-patient-safety/quality-resources/tools/cap-toolkit/ed-workflowdiagrams.pdf</x:v>
      </x:c>
      <x:c r="I507" s="19" t="str">
        <x:v>US</x:v>
      </x:c>
      <x:c r="J507" s="19" t="str">
        <x:v>ED pneumonia workflow</x:v>
      </x:c>
      <x:c r="K507" s="19" t="str"/>
      <x:c r="L507" s="19" t="str"/>
      <x:c r="M507" s="19" t="str">
        <x:v>anchoring on CAP; missing alternative diagnoses; missing data elements</x:v>
      </x:c>
      <x:c r="N507" s="19" t="str">
        <x:v>Walk-in/EMS -&gt; front desk/triage RN -&gt; intake RN -&gt; provider evaluation -&gt; labwork + chest X-ray -&gt; CAP? -&gt; CURB-65 -&gt; admit vs outpatient antibiotics vs pursue other diagnosis</x:v>
      </x:c>
      <x:c r="O507" s="19" t="str"/>
      <x:c r="P507" s="19" t="str"/>
      <x:c r="Q507" s="19" t="str"/>
      <x:c r="R507" s="19" t="str"/>
      <x:c r="S507" s="19" t="str">
        <x:v>medium</x:v>
      </x:c>
      <x:c r="T507" s="19" t="str">
        <x:v>04_topic_outputs/diagrams_or_flows/flow_maps.csv</x:v>
      </x:c>
      <x:c r="U507" s="19" t="str">
        <x:v>research_evidence_package_health_system_patient_flows_2026-05-30.tar.gz::04_topic_outputs/diagrams_or_flows/flow_maps.csv::FM03</x:v>
      </x:c>
    </x:row>
    <x:row r="508">
      <x:c r="A508" s="19" t="str">
        <x:v>A_flows</x:v>
      </x:c>
      <x:c r="B508" s="19" t="str">
        <x:v>research_evidence_package_health_system_patient_flows_2026-05-30.tar.gz</x:v>
      </x:c>
      <x:c r="C508" s="19" t="str">
        <x:v>Research A / health-system patient flows</x:v>
      </x:c>
      <x:c r="D508" s="19" t="str">
        <x:v>flow_map</x:v>
      </x:c>
      <x:c r="E508" s="19" t="str">
        <x:v>FM04</x:v>
      </x:c>
      <x:c r="F508" s="19" t="str"/>
      <x:c r="G508" s="19" t="str"/>
      <x:c r="H508" s="19" t="str">
        <x:v>https://www.england.nhs.uk/publication/urgent-treatment-centres-principles-and-standards/
https://www.nhs.uk/nhs-services/urgent-and-emergency-care-services/when-to-visit-an-urgent-treatment-centre-urgent-care-centre-or-minor-injury-unit/</x:v>
      </x:c>
      <x:c r="I508" s="19" t="str">
        <x:v>England</x:v>
      </x:c>
      <x:c r="J508" s="19" t="str">
        <x:v>Urgent treatment centre</x:v>
      </x:c>
      <x:c r="K508" s="19" t="str"/>
      <x:c r="L508" s="19" t="str"/>
      <x:c r="M508" s="19" t="str">
        <x:v>patients wait by acuity; deterioration relies on patient telling staff; diagnostics vary</x:v>
      </x:c>
      <x:c r="N508" s="19" t="str">
        <x:v>Walk-in/booked/111 -&gt; arrival -&gt; nurse observations -&gt; assessed by UTC clinician -&gt; tests if available -&gt; treated/prescribed or referred/escalated -&gt; GP update</x:v>
      </x:c>
      <x:c r="O508" s="19" t="str"/>
      <x:c r="P508" s="19" t="str"/>
      <x:c r="Q508" s="19" t="str"/>
      <x:c r="R508" s="19" t="str"/>
      <x:c r="S508" s="19" t="str">
        <x:v>medium-high</x:v>
      </x:c>
      <x:c r="T508" s="19" t="str">
        <x:v>04_topic_outputs/diagrams_or_flows/flow_maps.csv</x:v>
      </x:c>
      <x:c r="U508" s="19" t="str">
        <x:v>research_evidence_package_health_system_patient_flows_2026-05-30.tar.gz::04_topic_outputs/diagrams_or_flows/flow_maps.csv::FM04</x:v>
      </x:c>
    </x:row>
    <x:row r="509">
      <x:c r="A509" s="19" t="str">
        <x:v>A_flows</x:v>
      </x:c>
      <x:c r="B509" s="19" t="str">
        <x:v>research_evidence_package_health_system_patient_flows_2026-05-30.tar.gz</x:v>
      </x:c>
      <x:c r="C509" s="19" t="str">
        <x:v>Research A / health-system patient flows</x:v>
      </x:c>
      <x:c r="D509" s="19" t="str">
        <x:v>flow_map</x:v>
      </x:c>
      <x:c r="E509" s="19" t="str">
        <x:v>FM05</x:v>
      </x:c>
      <x:c r="F509" s="19" t="str"/>
      <x:c r="G509" s="19" t="str"/>
      <x:c r="H509" s="19" t="str">
        <x:v>https://digital.nhs.uk/services/urgent-care-self-service-product</x:v>
      </x:c>
      <x:c r="I509" s="19" t="str">
        <x:v>England</x:v>
      </x:c>
      <x:c r="J509" s="19" t="str">
        <x:v>Urgent care digital front door</x:v>
      </x:c>
      <x:c r="K509" s="19" t="str"/>
      <x:c r="L509" s="19" t="str"/>
      <x:c r="M509" s="19" t="str">
        <x:v>digital access/language; symptom nuance; no human observation during form completion</x:v>
      </x:c>
      <x:c r="N509" s="19" t="str">
        <x:v>Arrival -&gt; patient self-check-in on tablet/kiosk -&gt; demographic match/NHS number -&gt; guided symptom triage -&gt; prioritise/redirect/refer -&gt; clinician receives triage outcome</x:v>
      </x:c>
      <x:c r="O509" s="19" t="str"/>
      <x:c r="P509" s="19" t="str"/>
      <x:c r="Q509" s="19" t="str"/>
      <x:c r="R509" s="19" t="str"/>
      <x:c r="S509" s="19" t="str">
        <x:v>medium</x:v>
      </x:c>
      <x:c r="T509" s="19" t="str">
        <x:v>04_topic_outputs/diagrams_or_flows/flow_maps.csv</x:v>
      </x:c>
      <x:c r="U509" s="19" t="str">
        <x:v>research_evidence_package_health_system_patient_flows_2026-05-30.tar.gz::04_topic_outputs/diagrams_or_flows/flow_maps.csv::FM05</x:v>
      </x:c>
    </x:row>
    <x:row r="510">
      <x:c r="A510" s="19" t="str">
        <x:v>A_flows</x:v>
      </x:c>
      <x:c r="B510" s="19" t="str">
        <x:v>research_evidence_package_health_system_patient_flows_2026-05-30.tar.gz</x:v>
      </x:c>
      <x:c r="C510" s="19" t="str">
        <x:v>Research A / health-system patient flows</x:v>
      </x:c>
      <x:c r="D510" s="19" t="str">
        <x:v>flow_map</x:v>
      </x:c>
      <x:c r="E510" s="19" t="str">
        <x:v>FM06</x:v>
      </x:c>
      <x:c r="F510" s="19" t="str"/>
      <x:c r="G510" s="19" t="str"/>
      <x:c r="H510" s="19" t="str">
        <x:v>https://111.nhs.uk/
https://digital.nhs.uk/services/nhs-111-online</x:v>
      </x:c>
      <x:c r="I510" s="19" t="str">
        <x:v>England</x:v>
      </x:c>
      <x:c r="J510" s="19" t="str">
        <x:v>NHS 111 online</x:v>
      </x:c>
      <x:c r="K510" s="19" t="str"/>
      <x:c r="L510" s="19" t="str"/>
      <x:c r="M510" s="19" t="str">
        <x:v>one-symptom-at-a-time; complex known conditions; directory mismatch</x:v>
      </x:c>
      <x:c r="N510" s="19" t="str">
        <x:v>Before visit -&gt; patient enters age/sex/postcode + main symptom -&gt; NHS Pathways questions -&gt; outcome: 999/ED/UTC/GP/pharmacist/nurse callback/self-care -&gt; receiving service</x:v>
      </x:c>
      <x:c r="O510" s="19" t="str"/>
      <x:c r="P510" s="19" t="str"/>
      <x:c r="Q510" s="19" t="str"/>
      <x:c r="R510" s="19" t="str"/>
      <x:c r="S510" s="19" t="str">
        <x:v>medium</x:v>
      </x:c>
      <x:c r="T510" s="19" t="str">
        <x:v>04_topic_outputs/diagrams_or_flows/flow_maps.csv</x:v>
      </x:c>
      <x:c r="U510" s="19" t="str">
        <x:v>research_evidence_package_health_system_patient_flows_2026-05-30.tar.gz::04_topic_outputs/diagrams_or_flows/flow_maps.csv::FM06</x:v>
      </x:c>
    </x:row>
    <x:row r="511">
      <x:c r="A511" s="19" t="str">
        <x:v>A_flows</x:v>
      </x:c>
      <x:c r="B511" s="19" t="str">
        <x:v>research_evidence_package_health_system_patient_flows_2026-05-30.tar.gz</x:v>
      </x:c>
      <x:c r="C511" s="19" t="str">
        <x:v>Research A / health-system patient flows</x:v>
      </x:c>
      <x:c r="D511" s="19" t="str">
        <x:v>flow_map</x:v>
      </x:c>
      <x:c r="E511" s="19" t="str">
        <x:v>FM07</x:v>
      </x:c>
      <x:c r="F511" s="19" t="str"/>
      <x:c r="G511" s="19" t="str"/>
      <x:c r="H511" s="19" t="str">
        <x:v>https://www.england.nhs.uk/long-read/modern-general-practice-model/
https://www.bma.org.uk/advice-and-support/gp-practices/gp-service-provision/care-navigation-and-triage-in-general-practice
https://www.hssib.org.uk/patient-safety-investigations/workforce-and-patient-safety/second-investigation-report/</x:v>
      </x:c>
      <x:c r="I511" s="19" t="str">
        <x:v>England</x:v>
      </x:c>
      <x:c r="J511" s="19" t="str">
        <x:v>Modern GP access</x:v>
      </x:c>
      <x:c r="K511" s="19" t="str"/>
      <x:c r="L511" s="19" t="str"/>
      <x:c r="M511" s="19" t="str">
        <x:v>routing without enough clinical detail; repeated contacts not linked</x:v>
      </x:c>
      <x:c r="N511" s="19" t="str">
        <x:v>Patient contacts by phone/online/in-person -&gt; care navigation/admin or clinical triage -&gt; GP/nurse/pharmacist/other professional -&gt; labs/imaging/referral or self-care -&gt; safety-net/follow-up</x:v>
      </x:c>
      <x:c r="O511" s="19" t="str"/>
      <x:c r="P511" s="19" t="str"/>
      <x:c r="Q511" s="19" t="str"/>
      <x:c r="R511" s="19" t="str"/>
      <x:c r="S511" s="19" t="str">
        <x:v>high</x:v>
      </x:c>
      <x:c r="T511" s="19" t="str">
        <x:v>04_topic_outputs/diagrams_or_flows/flow_maps.csv</x:v>
      </x:c>
      <x:c r="U511" s="19" t="str">
        <x:v>research_evidence_package_health_system_patient_flows_2026-05-30.tar.gz::04_topic_outputs/diagrams_or_flows/flow_maps.csv::FM07</x:v>
      </x:c>
    </x:row>
    <x:row r="512">
      <x:c r="A512" s="19" t="str">
        <x:v>A_flows</x:v>
      </x:c>
      <x:c r="B512" s="19" t="str">
        <x:v>research_evidence_package_health_system_patient_flows_2026-05-30.tar.gz</x:v>
      </x:c>
      <x:c r="C512" s="19" t="str">
        <x:v>Research A / health-system patient flows</x:v>
      </x:c>
      <x:c r="D512" s="19" t="str">
        <x:v>flow_map</x:v>
      </x:c>
      <x:c r="E512" s="19" t="str">
        <x:v>FM08</x:v>
      </x:c>
      <x:c r="F512" s="19" t="str"/>
      <x:c r="G512" s="19" t="str"/>
      <x:c r="H512" s="19" t="str">
        <x:v>https://www.cqc.org.uk/guidance-regulation/gps/gp-mythbusters
https://www.hssib.org.uk/patient-safety-investigations/failures-in-communication-or-follow-up-of-unexpected-significant-radiological-findings/</x:v>
      </x:c>
      <x:c r="I512" s="19" t="str">
        <x:v>England</x:v>
      </x:c>
      <x:c r="J512" s="19" t="str">
        <x:v>GP test result loop</x:v>
      </x:c>
      <x:c r="K512" s="19" t="str"/>
      <x:c r="L512" s="19" t="str"/>
      <x:c r="M512" s="19" t="str">
        <x:v>lost/non-returned results; clinician absence; filing without action</x:v>
      </x:c>
      <x:c r="N512" s="19" t="str">
        <x:v>Clinician orders test -&gt; patient attends or not -&gt; result returns or not -&gt; trained staff/clinician review -&gt; patient informed -&gt; abnormal follow-up/referral -&gt; filing/closure</x:v>
      </x:c>
      <x:c r="O512" s="19" t="str"/>
      <x:c r="P512" s="19" t="str"/>
      <x:c r="Q512" s="19" t="str"/>
      <x:c r="R512" s="19" t="str"/>
      <x:c r="S512" s="19" t="str">
        <x:v>high</x:v>
      </x:c>
      <x:c r="T512" s="19" t="str">
        <x:v>04_topic_outputs/diagrams_or_flows/flow_maps.csv</x:v>
      </x:c>
      <x:c r="U512" s="19" t="str">
        <x:v>research_evidence_package_health_system_patient_flows_2026-05-30.tar.gz::04_topic_outputs/diagrams_or_flows/flow_maps.csv::FM08</x:v>
      </x:c>
    </x:row>
    <x:row r="513">
      <x:c r="A513" s="19" t="str">
        <x:v>A_flows</x:v>
      </x:c>
      <x:c r="B513" s="19" t="str">
        <x:v>research_evidence_package_health_system_patient_flows_2026-05-30.tar.gz</x:v>
      </x:c>
      <x:c r="C513" s="19" t="str">
        <x:v>Research A / health-system patient flows</x:v>
      </x:c>
      <x:c r="D513" s="19" t="str">
        <x:v>flow_map</x:v>
      </x:c>
      <x:c r="E513" s="19" t="str">
        <x:v>FM09</x:v>
      </x:c>
      <x:c r="F513" s="19" t="str"/>
      <x:c r="G513" s="19" t="str"/>
      <x:c r="H513" s="19" t="str">
        <x:v>https://www.cancerresearchuk.org/health-professional/diagnosis/primary-care/safety-netting
https://www.england.nhs.uk/long-read/jesss-rule-three-strikes-and-we-rethink/
https://www.hssib.org.uk/patient-safety-investigations/continuity-of-care-delayed-diagnosis-in-gp-practices/investigation-report/pdf/</x:v>
      </x:c>
      <x:c r="I513" s="19" t="str">
        <x:v>England</x:v>
      </x:c>
      <x:c r="J513" s="19" t="str">
        <x:v>Repeat symptom diagnostic safety-net</x:v>
      </x:c>
      <x:c r="K513" s="19" t="str"/>
      <x:c r="L513" s="19" t="str"/>
      <x:c r="M513" s="19" t="str">
        <x:v>normal-test trap; multiple clinicians; repeat count across channels missing</x:v>
      </x:c>
      <x:c r="N513" s="19" t="str">
        <x:v>Initial visit -&gt; low-risk/negative tests -&gt; safety-net plan -&gt; repeat presentation -&gt; third presentation triggers reflect/review/rethink -&gt; exam/peer review/tests/referral -&gt; diagnosis or monitored plan</x:v>
      </x:c>
      <x:c r="O513" s="19" t="str"/>
      <x:c r="P513" s="19" t="str"/>
      <x:c r="Q513" s="19" t="str"/>
      <x:c r="R513" s="19" t="str"/>
      <x:c r="S513" s="19" t="str">
        <x:v>medium-high</x:v>
      </x:c>
      <x:c r="T513" s="19" t="str">
        <x:v>04_topic_outputs/diagrams_or_flows/flow_maps.csv</x:v>
      </x:c>
      <x:c r="U513" s="19" t="str">
        <x:v>research_evidence_package_health_system_patient_flows_2026-05-30.tar.gz::04_topic_outputs/diagrams_or_flows/flow_maps.csv::FM09</x:v>
      </x:c>
    </x:row>
    <x:row r="514">
      <x:c r="A514" s="19" t="str">
        <x:v>A_flows</x:v>
      </x:c>
      <x:c r="B514" s="19" t="str">
        <x:v>research_evidence_package_health_system_patient_flows_2026-05-30.tar.gz</x:v>
      </x:c>
      <x:c r="C514" s="19" t="str">
        <x:v>Research A / health-system patient flows</x:v>
      </x:c>
      <x:c r="D514" s="19" t="str">
        <x:v>flow_map</x:v>
      </x:c>
      <x:c r="E514" s="19" t="str">
        <x:v>FM10</x:v>
      </x:c>
      <x:c r="F514" s="19" t="str"/>
      <x:c r="G514" s="19" t="str"/>
      <x:c r="H514" s="19" t="str">
        <x:v>https://digital.nhs.uk/services/e-referral-service/document-library/referral-assessment-services
https://digital.nhs.uk/services/e-referral-service/document-library/diagnostic-services</x:v>
      </x:c>
      <x:c r="I514" s="19" t="str">
        <x:v>England</x:v>
      </x:c>
      <x:c r="J514" s="19" t="str">
        <x:v>Specialist referral assessment</x:v>
      </x:c>
      <x:c r="K514" s="19" t="str"/>
      <x:c r="L514" s="19" t="str"/>
      <x:c r="M514" s="19" t="str">
        <x:v>wrong worklist/status; patient confusion; advice without safety net</x:v>
      </x:c>
      <x:c r="N514" s="19" t="str">
        <x:v>GP/referrer creates e-RS referral -&gt; provider RAS triages before booking -&gt; book/redirect/return advice/request more info -&gt; patient appointment or primary-care management -&gt; follow-up</x:v>
      </x:c>
      <x:c r="O514" s="19" t="str"/>
      <x:c r="P514" s="19" t="str"/>
      <x:c r="Q514" s="19" t="str"/>
      <x:c r="R514" s="19" t="str"/>
      <x:c r="S514" s="19" t="str">
        <x:v>high</x:v>
      </x:c>
      <x:c r="T514" s="19" t="str">
        <x:v>04_topic_outputs/diagrams_or_flows/flow_maps.csv</x:v>
      </x:c>
      <x:c r="U514" s="19" t="str">
        <x:v>research_evidence_package_health_system_patient_flows_2026-05-30.tar.gz::04_topic_outputs/diagrams_or_flows/flow_maps.csv::FM10</x:v>
      </x:c>
    </x:row>
    <x:row r="515">
      <x:c r="A515" s="19" t="str">
        <x:v>A_flows</x:v>
      </x:c>
      <x:c r="B515" s="19" t="str">
        <x:v>research_evidence_package_health_system_patient_flows_2026-05-30.tar.gz</x:v>
      </x:c>
      <x:c r="C515" s="19" t="str">
        <x:v>Research A / health-system patient flows</x:v>
      </x:c>
      <x:c r="D515" s="19" t="str">
        <x:v>flow_map</x:v>
      </x:c>
      <x:c r="E515" s="19" t="str">
        <x:v>FM11</x:v>
      </x:c>
      <x:c r="F515" s="19" t="str"/>
      <x:c r="G515" s="19" t="str"/>
      <x:c r="H515" s="19" t="str">
        <x:v>https://www.england.nhs.uk/long-read/outpatient-recovery-and-transformation-improvement-guide/
https://digital.nhs.uk/services/e-referral-service/document-library/diagnostic-services</x:v>
      </x:c>
      <x:c r="I515" s="19" t="str">
        <x:v>England</x:v>
      </x:c>
      <x:c r="J515" s="19" t="str">
        <x:v>Outpatient advice/direct diagnostics</x:v>
      </x:c>
      <x:c r="K515" s="19" t="str"/>
      <x:c r="L515" s="19" t="str"/>
      <x:c r="M515" s="19" t="str">
        <x:v>rejected referral; advice-only drift; missing critical context</x:v>
      </x:c>
      <x:c r="N515" s="19" t="str">
        <x:v>GP symptom concern -&gt; specialist advice/guidance or straight-to-test -&gt; diagnostic test/consultant review -&gt; advice, appointment or treatment pathway -&gt; safety-net</x:v>
      </x:c>
      <x:c r="O515" s="19" t="str"/>
      <x:c r="P515" s="19" t="str"/>
      <x:c r="Q515" s="19" t="str"/>
      <x:c r="R515" s="19" t="str"/>
      <x:c r="S515" s="19" t="str">
        <x:v>medium</x:v>
      </x:c>
      <x:c r="T515" s="19" t="str">
        <x:v>04_topic_outputs/diagrams_or_flows/flow_maps.csv</x:v>
      </x:c>
      <x:c r="U515" s="19" t="str">
        <x:v>research_evidence_package_health_system_patient_flows_2026-05-30.tar.gz::04_topic_outputs/diagrams_or_flows/flow_maps.csv::FM11</x:v>
      </x:c>
    </x:row>
    <x:row r="516">
      <x:c r="A516" s="19" t="str">
        <x:v>A_flows</x:v>
      </x:c>
      <x:c r="B516" s="19" t="str">
        <x:v>research_evidence_package_health_system_patient_flows_2026-05-30.tar.gz</x:v>
      </x:c>
      <x:c r="C516" s="19" t="str">
        <x:v>Research A / health-system patient flows</x:v>
      </x:c>
      <x:c r="D516" s="19" t="str">
        <x:v>flow_map</x:v>
      </x:c>
      <x:c r="E516" s="19" t="str">
        <x:v>FM12</x:v>
      </x:c>
      <x:c r="F516" s="19" t="str"/>
      <x:c r="G516" s="19" t="str"/>
      <x:c r="H516" s="19" t="str">
        <x:v>https://aam.mohfw.gov.in/download/document/45a4ab64b74ab124cfd853ec9a0127e4.pdf</x:v>
      </x:c>
      <x:c r="I516" s="19" t="str">
        <x:v>India</x:v>
      </x:c>
      <x:c r="J516" s="19" t="str">
        <x:v>HWC community screening</x:v>
      </x:c>
      <x:c r="K516" s="19" t="str"/>
      <x:c r="L516" s="19" t="str"/>
      <x:c r="M516" s="19" t="str">
        <x:v>positive screens not tracked; referral loop not closed; low-resource constraints</x:v>
      </x:c>
      <x:c r="N516" s="19" t="str">
        <x:v>Population empanelment -&gt; ASHA/home contact -&gt; HWC screening age 30+ -&gt; CHO/doctor assessment -&gt; referral for suspected NCD/cancer/mental health -&gt; two-way follow-up</x:v>
      </x:c>
      <x:c r="O516" s="19" t="str"/>
      <x:c r="P516" s="19" t="str"/>
      <x:c r="Q516" s="19" t="str"/>
      <x:c r="R516" s="19" t="str"/>
      <x:c r="S516" s="19" t="str">
        <x:v>high</x:v>
      </x:c>
      <x:c r="T516" s="19" t="str">
        <x:v>04_topic_outputs/diagrams_or_flows/flow_maps.csv</x:v>
      </x:c>
      <x:c r="U516" s="19" t="str">
        <x:v>research_evidence_package_health_system_patient_flows_2026-05-30.tar.gz::04_topic_outputs/diagrams_or_flows/flow_maps.csv::FM12</x:v>
      </x:c>
    </x:row>
    <x:row r="517">
      <x:c r="A517" s="19" t="str">
        <x:v>A_flows</x:v>
      </x:c>
      <x:c r="B517" s="19" t="str">
        <x:v>research_evidence_package_health_system_patient_flows_2026-05-30.tar.gz</x:v>
      </x:c>
      <x:c r="C517" s="19" t="str">
        <x:v>Research A / health-system patient flows</x:v>
      </x:c>
      <x:c r="D517" s="19" t="str">
        <x:v>flow_map</x:v>
      </x:c>
      <x:c r="E517" s="19" t="str">
        <x:v>FM13</x:v>
      </x:c>
      <x:c r="F517" s="19" t="str"/>
      <x:c r="G517" s="19" t="str"/>
      <x:c r="H517" s="19" t="str">
        <x:v>https://link.springer.com/article/10.1186/s12245-025-01005-z</x:v>
      </x:c>
      <x:c r="I517" s="19" t="str">
        <x:v>Uganda</x:v>
      </x:c>
      <x:c r="J517" s="19" t="str">
        <x:v>Rural OPD structured triage</x:v>
      </x:c>
      <x:c r="K517" s="19" t="str"/>
      <x:c r="L517" s="19" t="str"/>
      <x:c r="M517" s="19" t="str">
        <x:v>undertriage; staff training; paper chart data not aggregated</x:v>
      </x:c>
      <x:c r="N517" s="19" t="str">
        <x:v>OPD arrival -&gt; nurse applies IITT-adapted checklist/color category on chart -&gt; emergency/urgent/non-urgent prioritisation -&gt; clinician assessment -&gt; treatment/referral/discharge</x:v>
      </x:c>
      <x:c r="O517" s="19" t="str"/>
      <x:c r="P517" s="19" t="str"/>
      <x:c r="Q517" s="19" t="str"/>
      <x:c r="R517" s="19" t="str"/>
      <x:c r="S517" s="19" t="str">
        <x:v>medium</x:v>
      </x:c>
      <x:c r="T517" s="19" t="str">
        <x:v>04_topic_outputs/diagrams_or_flows/flow_maps.csv</x:v>
      </x:c>
      <x:c r="U517" s="19" t="str">
        <x:v>research_evidence_package_health_system_patient_flows_2026-05-30.tar.gz::04_topic_outputs/diagrams_or_flows/flow_maps.csv::FM13</x:v>
      </x:c>
    </x:row>
    <x:row r="518">
      <x:c r="A518" s="19" t="str">
        <x:v>A_flows</x:v>
      </x:c>
      <x:c r="B518" s="19" t="str">
        <x:v>research_evidence_package_health_system_patient_flows_2026-05-30.tar.gz</x:v>
      </x:c>
      <x:c r="C518" s="19" t="str">
        <x:v>Research A / health-system patient flows</x:v>
      </x:c>
      <x:c r="D518" s="19" t="str">
        <x:v>flow_map</x:v>
      </x:c>
      <x:c r="E518" s="19" t="str">
        <x:v>FM14</x:v>
      </x:c>
      <x:c r="F518" s="19" t="str"/>
      <x:c r="G518" s="19" t="str"/>
      <x:c r="H518" s="19" t="str">
        <x:v>https://www.who.int/teams/maternal-newborn-child-adolescent-health-and-ageing/child-health/integrated-management-of-childhood-illness/
https://www.childhealthtaskforce.org/hubs/iccm
https://www.who.int/teams/global-malaria-programme/case-management/community-based-case-management-race-programme</x:v>
      </x:c>
      <x:c r="I518" s="19" t="str">
        <x:v>Sub-Saharan Africa / LMIC</x:v>
      </x:c>
      <x:c r="J518" s="19" t="str">
        <x:v>Community child illness</x:v>
      </x:c>
      <x:c r="K518" s="19" t="str"/>
      <x:c r="L518" s="19" t="str"/>
      <x:c r="M518" s="19" t="str">
        <x:v>stockout; referral transport; lack of counter-referral</x:v>
      </x:c>
      <x:c r="N518" s="19" t="str">
        <x:v>Caregiver/CHW contact -&gt; CHW assesses fever/cough/diarrhoea and danger signs -&gt; classifies/treats uncomplicated illness -&gt; refers severe cases -&gt; supervisor/facility follow-up</x:v>
      </x:c>
      <x:c r="O518" s="19" t="str"/>
      <x:c r="P518" s="19" t="str"/>
      <x:c r="Q518" s="19" t="str"/>
      <x:c r="R518" s="19" t="str"/>
      <x:c r="S518" s="19" t="str">
        <x:v>medium-high</x:v>
      </x:c>
      <x:c r="T518" s="19" t="str">
        <x:v>04_topic_outputs/diagrams_or_flows/flow_maps.csv</x:v>
      </x:c>
      <x:c r="U518" s="19" t="str">
        <x:v>research_evidence_package_health_system_patient_flows_2026-05-30.tar.gz::04_topic_outputs/diagrams_or_flows/flow_maps.csv::FM14</x:v>
      </x:c>
    </x:row>
    <x:row r="519">
      <x:c r="A519" s="19" t="str">
        <x:v>A_flows</x:v>
      </x:c>
      <x:c r="B519" s="19" t="str">
        <x:v>research_evidence_package_health_system_patient_flows_2026-05-30.tar.gz</x:v>
      </x:c>
      <x:c r="C519" s="19" t="str">
        <x:v>Research A / health-system patient flows</x:v>
      </x:c>
      <x:c r="D519" s="19" t="str">
        <x:v>flow_map</x:v>
      </x:c>
      <x:c r="E519" s="19" t="str">
        <x:v>FM15</x:v>
      </x:c>
      <x:c r="F519" s="19" t="str"/>
      <x:c r="G519" s="19" t="str"/>
      <x:c r="H519" s="19" t="str">
        <x:v>https://www.commonwealthfund.org/publications/case-study/2016/dec/brazils-family-health-strategy-using-community-health-care-workers</x:v>
      </x:c>
      <x:c r="I519" s="19" t="str">
        <x:v>Brazil</x:v>
      </x:c>
      <x:c r="J519" s="19" t="str">
        <x:v>Family Health Strategy</x:v>
      </x:c>
      <x:c r="K519" s="19" t="str"/>
      <x:c r="L519" s="19" t="str"/>
      <x:c r="M519" s="19" t="str">
        <x:v>community signals not structured; no closed loop to clinician</x:v>
      </x:c>
      <x:c r="N519" s="19" t="str">
        <x:v>Geographic assignment -&gt; CHW home visits/registers family -&gt; notes symptoms/living conditions/adherence -&gt; resolves low-level issue or relays/refers to nurse/physician -&gt; primary-care follow-up</x:v>
      </x:c>
      <x:c r="O519" s="19" t="str"/>
      <x:c r="P519" s="19" t="str"/>
      <x:c r="Q519" s="19" t="str"/>
      <x:c r="R519" s="19" t="str"/>
      <x:c r="S519" s="19" t="str">
        <x:v>medium</x:v>
      </x:c>
      <x:c r="T519" s="19" t="str">
        <x:v>04_topic_outputs/diagrams_or_flows/flow_maps.csv</x:v>
      </x:c>
      <x:c r="U519" s="19" t="str">
        <x:v>research_evidence_package_health_system_patient_flows_2026-05-30.tar.gz::04_topic_outputs/diagrams_or_flows/flow_maps.csv::FM15</x:v>
      </x:c>
    </x:row>
    <x:row r="520">
      <x:c r="A520" s="19" t="str">
        <x:v>A_flows</x:v>
      </x:c>
      <x:c r="B520" s="19" t="str">
        <x:v>research_evidence_package_health_system_patient_flows_2026-05-30.tar.gz</x:v>
      </x:c>
      <x:c r="C520" s="19" t="str">
        <x:v>Research A / health-system patient flows</x:v>
      </x:c>
      <x:c r="D520" s="19" t="str">
        <x:v>flow_map</x:v>
      </x:c>
      <x:c r="E520" s="19" t="str">
        <x:v>FM16</x:v>
      </x:c>
      <x:c r="F520" s="19" t="str"/>
      <x:c r="G520" s="19" t="str"/>
      <x:c r="H520" s="19" t="str">
        <x:v>https://www.nhs.uk/tests-and-treatments/bowel-cancer-screening/
https://www.cdc.gov/cancer/php/interventions/patient-navigation.html
https://www.sciencedirect.com/science/article/pii/S221133552300102X</x:v>
      </x:c>
      <x:c r="I520" s="19" t="str">
        <x:v>England</x:v>
      </x:c>
      <x:c r="J520" s="19" t="str">
        <x:v>Bowel cancer screening</x:v>
      </x:c>
      <x:c r="K520" s="19" t="str"/>
      <x:c r="L520" s="19" t="str"/>
      <x:c r="M520" s="19" t="str">
        <x:v>kit non-return; positive FIT no colonoscopy; false reassurance after negative</x:v>
      </x:c>
      <x:c r="N520" s="19" t="str">
        <x:v>Eligibility/GP register -&gt; FIT kit mailed -&gt; patient collects sample -&gt; lab result -&gt; no blood routine recall OR further tests -&gt; specialist nurse -&gt; usually colonoscopy -&gt; result/follow-up</x:v>
      </x:c>
      <x:c r="O520" s="19" t="str"/>
      <x:c r="P520" s="19" t="str"/>
      <x:c r="Q520" s="19" t="str"/>
      <x:c r="R520" s="19" t="str"/>
      <x:c r="S520" s="19" t="str">
        <x:v>high</x:v>
      </x:c>
      <x:c r="T520" s="19" t="str">
        <x:v>04_topic_outputs/diagrams_or_flows/flow_maps.csv</x:v>
      </x:c>
      <x:c r="U520" s="19" t="str">
        <x:v>research_evidence_package_health_system_patient_flows_2026-05-30.tar.gz::04_topic_outputs/diagrams_or_flows/flow_maps.csv::FM16</x:v>
      </x:c>
    </x:row>
    <x:row r="521">
      <x:c r="A521" s="19" t="str">
        <x:v>A_flows</x:v>
      </x:c>
      <x:c r="B521" s="19" t="str">
        <x:v>research_evidence_package_health_system_patient_flows_2026-05-30.tar.gz</x:v>
      </x:c>
      <x:c r="C521" s="19" t="str">
        <x:v>Research A / health-system patient flows</x:v>
      </x:c>
      <x:c r="D521" s="19" t="str">
        <x:v>flow_map</x:v>
      </x:c>
      <x:c r="E521" s="19" t="str">
        <x:v>FM17</x:v>
      </x:c>
      <x:c r="F521" s="19" t="str"/>
      <x:c r="G521" s="19" t="str"/>
      <x:c r="H521" s="19" t="str">
        <x:v>https://www.shoken-kenpo.or.jp/eng/member/checkup/measure.html</x:v>
      </x:c>
      <x:c r="I521" s="19" t="str">
        <x:v>Japan</x:v>
      </x:c>
      <x:c r="J521" s="19" t="str">
        <x:v>Metabolic screening and guidance</x:v>
      </x:c>
      <x:c r="K521" s="19" t="str"/>
      <x:c r="L521" s="19" t="str"/>
      <x:c r="M521" s="19" t="str">
        <x:v>nonattendance; support drop-off; risk not connected to primary care</x:v>
      </x:c>
      <x:c r="N521" s="19" t="str">
        <x:v>Insurer eligibility age 40+ -&gt; annual checkup/questionnaire/labs -&gt; risk stratification -&gt; information/motivational/proactive support -&gt; 3+ month evaluation</x:v>
      </x:c>
      <x:c r="O521" s="19" t="str"/>
      <x:c r="P521" s="19" t="str"/>
      <x:c r="Q521" s="19" t="str"/>
      <x:c r="R521" s="19" t="str"/>
      <x:c r="S521" s="19" t="str">
        <x:v>medium</x:v>
      </x:c>
      <x:c r="T521" s="19" t="str">
        <x:v>04_topic_outputs/diagrams_or_flows/flow_maps.csv</x:v>
      </x:c>
      <x:c r="U521" s="19" t="str">
        <x:v>research_evidence_package_health_system_patient_flows_2026-05-30.tar.gz::04_topic_outputs/diagrams_or_flows/flow_maps.csv::FM17</x:v>
      </x:c>
    </x:row>
    <x:row r="522">
      <x:c r="A522" s="19" t="str">
        <x:v>A_flows</x:v>
      </x:c>
      <x:c r="B522" s="19" t="str">
        <x:v>research_evidence_package_health_system_patient_flows_2026-05-30.tar.gz</x:v>
      </x:c>
      <x:c r="C522" s="19" t="str">
        <x:v>Research A / health-system patient flows</x:v>
      </x:c>
      <x:c r="D522" s="19" t="str">
        <x:v>flow_map</x:v>
      </x:c>
      <x:c r="E522" s="19" t="str">
        <x:v>FM18</x:v>
      </x:c>
      <x:c r="F522" s="19" t="str"/>
      <x:c r="G522" s="19" t="str"/>
      <x:c r="H522" s="19" t="str">
        <x:v>https://www.nhis.or.kr/english/wbhe/policies/NationalHealthScreeningProgram.html</x:v>
      </x:c>
      <x:c r="I522" s="19" t="str">
        <x:v>South Korea</x:v>
      </x:c>
      <x:c r="J522" s="19" t="str">
        <x:v>National screening</x:v>
      </x:c>
      <x:c r="K522" s="19" t="str"/>
      <x:c r="L522" s="19" t="str"/>
      <x:c r="M522" s="19" t="str">
        <x:v>mail result not understood; confirmation follow-up gap</x:v>
      </x:c>
      <x:c r="N522" s="19" t="str">
        <x:v>NHIS eligibility notice -&gt; patient schedules/visits authorized hospital with ID/card -&gt; screening -&gt; results mailed -&gt; confirmation checkup if suspected disease</x:v>
      </x:c>
      <x:c r="O522" s="19" t="str"/>
      <x:c r="P522" s="19" t="str"/>
      <x:c r="Q522" s="19" t="str"/>
      <x:c r="R522" s="19" t="str"/>
      <x:c r="S522" s="19" t="str">
        <x:v>medium</x:v>
      </x:c>
      <x:c r="T522" s="19" t="str">
        <x:v>04_topic_outputs/diagrams_or_flows/flow_maps.csv</x:v>
      </x:c>
      <x:c r="U522" s="19" t="str">
        <x:v>research_evidence_package_health_system_patient_flows_2026-05-30.tar.gz::04_topic_outputs/diagrams_or_flows/flow_maps.csv::FM18</x:v>
      </x:c>
    </x:row>
    <x:row r="523">
      <x:c r="A523" s="19" t="str">
        <x:v>A_flows</x:v>
      </x:c>
      <x:c r="B523" s="19" t="str">
        <x:v>research_evidence_package_health_system_patient_flows_2026-05-30.tar.gz</x:v>
      </x:c>
      <x:c r="C523" s="19" t="str">
        <x:v>Research A / health-system patient flows</x:v>
      </x:c>
      <x:c r="D523" s="19" t="str">
        <x:v>flow_map</x:v>
      </x:c>
      <x:c r="E523" s="19" t="str">
        <x:v>FM19</x:v>
      </x:c>
      <x:c r="F523" s="19" t="str"/>
      <x:c r="G523" s="19" t="str"/>
      <x:c r="H523" s="19" t="str">
        <x:v>https://www.all-can.org/efficiency-hub/danish-cancer-patient-pathways-three-legged-strategy-for-faster-referral-and-diagnosis-of-cancer/
https://www.nature.com/articles/s41416-024-02620-y</x:v>
      </x:c>
      <x:c r="I523" s="19" t="str">
        <x:v>Denmark</x:v>
      </x:c>
      <x:c r="J523" s="19" t="str">
        <x:v>Nonspecific cancer pathway</x:v>
      </x:c>
      <x:c r="K523" s="19" t="str"/>
      <x:c r="L523" s="19" t="str"/>
      <x:c r="M523" s="19" t="str">
        <x:v>patients below criteria; vague symptoms managed locally without robust safety net</x:v>
      </x:c>
      <x:c r="N523" s="19" t="str">
        <x:v>GP sees symptoms -&gt; alarm symptoms to organ-specific CPP OR serious nonspecific symptoms -&gt; initial tests/blood panel -&gt; diagnostic centre -&gt; cancer/serious disease work-up</x:v>
      </x:c>
      <x:c r="O523" s="19" t="str"/>
      <x:c r="P523" s="19" t="str"/>
      <x:c r="Q523" s="19" t="str"/>
      <x:c r="R523" s="19" t="str"/>
      <x:c r="S523" s="19" t="str">
        <x:v>medium-high</x:v>
      </x:c>
      <x:c r="T523" s="19" t="str">
        <x:v>04_topic_outputs/diagrams_or_flows/flow_maps.csv</x:v>
      </x:c>
      <x:c r="U523" s="19" t="str">
        <x:v>research_evidence_package_health_system_patient_flows_2026-05-30.tar.gz::04_topic_outputs/diagrams_or_flows/flow_maps.csv::FM19</x:v>
      </x:c>
    </x:row>
    <x:row r="524">
      <x:c r="A524" s="19" t="str">
        <x:v>A_flows</x:v>
      </x:c>
      <x:c r="B524" s="19" t="str">
        <x:v>research_evidence_package_health_system_patient_flows_2026-05-30.tar.gz</x:v>
      </x:c>
      <x:c r="C524" s="19" t="str">
        <x:v>Research A / health-system patient flows</x:v>
      </x:c>
      <x:c r="D524" s="19" t="str">
        <x:v>flow_map</x:v>
      </x:c>
      <x:c r="E524" s="19" t="str">
        <x:v>FM20</x:v>
      </x:c>
      <x:c r="F524" s="19" t="str"/>
      <x:c r="G524" s="19" t="str"/>
      <x:c r="H524" s="19" t="str">
        <x:v>https://www1.health.gov.il/en/landing-pages/healthcare-israel/healthcare-israel/
https://www.maccabi4u.co.il/en/46562/main_english/our-healthcare-system/diagnostic-services/</x:v>
      </x:c>
      <x:c r="I524" s="19" t="str">
        <x:v>Israel</x:v>
      </x:c>
      <x:c r="J524" s="19" t="str">
        <x:v>HMO diagnostic services</x:v>
      </x:c>
      <x:c r="K524" s="19" t="str"/>
      <x:c r="L524" s="19" t="str"/>
      <x:c r="M524" s="19" t="str">
        <x:v>result availability without action; alert fatigue; patient notification gap</x:v>
      </x:c>
      <x:c r="N524" s="19" t="str">
        <x:v>Family doctor/HMO clinician referral -&gt; collection/imaging site intake -&gt; test performed -&gt; result disseminated to physician computer/user station; teleradiology if distant -&gt; clinician/patient follow-up</x:v>
      </x:c>
      <x:c r="O524" s="19" t="str"/>
      <x:c r="P524" s="19" t="str"/>
      <x:c r="Q524" s="19" t="str"/>
      <x:c r="R524" s="19" t="str"/>
      <x:c r="S524" s="19" t="str">
        <x:v>medium</x:v>
      </x:c>
      <x:c r="T524" s="19" t="str">
        <x:v>04_topic_outputs/diagrams_or_flows/flow_maps.csv</x:v>
      </x:c>
      <x:c r="U524" s="19" t="str">
        <x:v>research_evidence_package_health_system_patient_flows_2026-05-30.tar.gz::04_topic_outputs/diagrams_or_flows/flow_maps.csv::FM20</x:v>
      </x:c>
    </x:row>
    <x:row r="525">
      <x:c r="A525" s="19" t="str">
        <x:v>A_flows</x:v>
      </x:c>
      <x:c r="B525" s="19" t="str">
        <x:v>research_evidence_package_health_system_patient_flows_2026-05-30.tar.gz</x:v>
      </x:c>
      <x:c r="C525" s="19" t="str">
        <x:v>Research A / health-system patient flows</x:v>
      </x:c>
      <x:c r="D525" s="19" t="str">
        <x:v>black_zone_matrix</x:v>
      </x:c>
      <x:c r="E525" s="19" t="str"/>
      <x:c r="F525" s="19" t="str"/>
      <x:c r="G525" s="19" t="str"/>
      <x:c r="H525" s="19" t="str"/>
      <x:c r="I525" s="19" t="str"/>
      <x:c r="J525" s="19" t="str"/>
      <x:c r="K525" s="19" t="str"/>
      <x:c r="L525" s="19" t="str"/>
      <x:c r="M525" s="19" t="str"/>
      <x:c r="N525" s="19" t="str"/>
      <x:c r="O525" s="19" t="str"/>
      <x:c r="P525" s="19" t="str"/>
      <x:c r="Q525" s="19" t="str"/>
      <x:c r="R525" s="19" t="str"/>
      <x:c r="S525" s="19" t="str">
        <x:v>medium-high</x:v>
      </x:c>
      <x:c r="T525" s="19" t="str">
        <x:v>04_topic_outputs/maps_or_matrices/black_zones_matrix.csv</x:v>
      </x:c>
      <x:c r="U525" s="19" t="str">
        <x:v>research_evidence_package_health_system_patient_flows_2026-05-30.tar.gz::04_topic_outputs/maps_or_matrices/black_zones_matrix.csv::black_zone_matrix</x:v>
      </x:c>
    </x:row>
    <x:row r="526">
      <x:c r="A526" s="19" t="str">
        <x:v>A_flows</x:v>
      </x:c>
      <x:c r="B526" s="19" t="str">
        <x:v>research_evidence_package_health_system_patient_flows_2026-05-30.tar.gz</x:v>
      </x:c>
      <x:c r="C526" s="19" t="str">
        <x:v>Research A / health-system patient flows</x:v>
      </x:c>
      <x:c r="D526" s="19" t="str">
        <x:v>black_zone_matrix</x:v>
      </x:c>
      <x:c r="E526" s="19" t="str"/>
      <x:c r="F526" s="19" t="str"/>
      <x:c r="G526" s="19" t="str"/>
      <x:c r="H526" s="19" t="str"/>
      <x:c r="I526" s="19" t="str"/>
      <x:c r="J526" s="19" t="str"/>
      <x:c r="K526" s="19" t="str"/>
      <x:c r="L526" s="19" t="str"/>
      <x:c r="M526" s="19" t="str"/>
      <x:c r="N526" s="19" t="str"/>
      <x:c r="O526" s="19" t="str"/>
      <x:c r="P526" s="19" t="str"/>
      <x:c r="Q526" s="19" t="str"/>
      <x:c r="R526" s="19" t="str"/>
      <x:c r="S526" s="19" t="str">
        <x:v>medium-low</x:v>
      </x:c>
      <x:c r="T526" s="19" t="str">
        <x:v>04_topic_outputs/maps_or_matrices/black_zones_matrix.csv</x:v>
      </x:c>
      <x:c r="U526" s="19" t="str">
        <x:v>research_evidence_package_health_system_patient_flows_2026-05-30.tar.gz::04_topic_outputs/maps_or_matrices/black_zones_matrix.csv::black_zone_matrix</x:v>
      </x:c>
    </x:row>
    <x:row r="527">
      <x:c r="A527" s="19" t="str">
        <x:v>A_flows</x:v>
      </x:c>
      <x:c r="B527" s="19" t="str">
        <x:v>research_evidence_package_health_system_patient_flows_2026-05-30.tar.gz</x:v>
      </x:c>
      <x:c r="C527" s="19" t="str">
        <x:v>Research A / health-system patient flows</x:v>
      </x:c>
      <x:c r="D527" s="19" t="str">
        <x:v>black_zone_matrix</x:v>
      </x:c>
      <x:c r="E527" s="19" t="str"/>
      <x:c r="F527" s="19" t="str"/>
      <x:c r="G527" s="19" t="str"/>
      <x:c r="H527" s="19" t="str"/>
      <x:c r="I527" s="19" t="str"/>
      <x:c r="J527" s="19" t="str"/>
      <x:c r="K527" s="19" t="str"/>
      <x:c r="L527" s="19" t="str"/>
      <x:c r="M527" s="19" t="str"/>
      <x:c r="N527" s="19" t="str"/>
      <x:c r="O527" s="19" t="str"/>
      <x:c r="P527" s="19" t="str"/>
      <x:c r="Q527" s="19" t="str"/>
      <x:c r="R527" s="19" t="str"/>
      <x:c r="S527" s="19" t="str">
        <x:v>high</x:v>
      </x:c>
      <x:c r="T527" s="19" t="str">
        <x:v>04_topic_outputs/maps_or_matrices/black_zones_matrix.csv</x:v>
      </x:c>
      <x:c r="U527" s="19" t="str">
        <x:v>research_evidence_package_health_system_patient_flows_2026-05-30.tar.gz::04_topic_outputs/maps_or_matrices/black_zones_matrix.csv::black_zone_matrix</x:v>
      </x:c>
    </x:row>
    <x:row r="528">
      <x:c r="A528" s="19" t="str">
        <x:v>A_flows</x:v>
      </x:c>
      <x:c r="B528" s="19" t="str">
        <x:v>research_evidence_package_health_system_patient_flows_2026-05-30.tar.gz</x:v>
      </x:c>
      <x:c r="C528" s="19" t="str">
        <x:v>Research A / health-system patient flows</x:v>
      </x:c>
      <x:c r="D528" s="19" t="str">
        <x:v>black_zone_matrix</x:v>
      </x:c>
      <x:c r="E528" s="19" t="str"/>
      <x:c r="F528" s="19" t="str"/>
      <x:c r="G528" s="19" t="str"/>
      <x:c r="H528" s="19" t="str"/>
      <x:c r="I528" s="19" t="str"/>
      <x:c r="J528" s="19" t="str"/>
      <x:c r="K528" s="19" t="str"/>
      <x:c r="L528" s="19" t="str"/>
      <x:c r="M528" s="19" t="str"/>
      <x:c r="N528" s="19" t="str"/>
      <x:c r="O528" s="19" t="str"/>
      <x:c r="P528" s="19" t="str"/>
      <x:c r="Q528" s="19" t="str"/>
      <x:c r="R528" s="19" t="str"/>
      <x:c r="S528" s="19" t="str">
        <x:v>high</x:v>
      </x:c>
      <x:c r="T528" s="19" t="str">
        <x:v>04_topic_outputs/maps_or_matrices/black_zones_matrix.csv</x:v>
      </x:c>
      <x:c r="U528" s="19" t="str">
        <x:v>research_evidence_package_health_system_patient_flows_2026-05-30.tar.gz::04_topic_outputs/maps_or_matrices/black_zones_matrix.csv::black_zone_matrix</x:v>
      </x:c>
    </x:row>
    <x:row r="529">
      <x:c r="A529" s="19" t="str">
        <x:v>A_flows</x:v>
      </x:c>
      <x:c r="B529" s="19" t="str">
        <x:v>research_evidence_package_health_system_patient_flows_2026-05-30.tar.gz</x:v>
      </x:c>
      <x:c r="C529" s="19" t="str">
        <x:v>Research A / health-system patient flows</x:v>
      </x:c>
      <x:c r="D529" s="19" t="str">
        <x:v>black_zone_matrix</x:v>
      </x:c>
      <x:c r="E529" s="19" t="str"/>
      <x:c r="F529" s="19" t="str"/>
      <x:c r="G529" s="19" t="str"/>
      <x:c r="H529" s="19" t="str"/>
      <x:c r="I529" s="19" t="str"/>
      <x:c r="J529" s="19" t="str"/>
      <x:c r="K529" s="19" t="str"/>
      <x:c r="L529" s="19" t="str"/>
      <x:c r="M529" s="19" t="str"/>
      <x:c r="N529" s="19" t="str"/>
      <x:c r="O529" s="19" t="str"/>
      <x:c r="P529" s="19" t="str"/>
      <x:c r="Q529" s="19" t="str"/>
      <x:c r="R529" s="19" t="str"/>
      <x:c r="S529" s="19" t="str">
        <x:v>medium-high</x:v>
      </x:c>
      <x:c r="T529" s="19" t="str">
        <x:v>04_topic_outputs/maps_or_matrices/black_zones_matrix.csv</x:v>
      </x:c>
      <x:c r="U529" s="19" t="str">
        <x:v>research_evidence_package_health_system_patient_flows_2026-05-30.tar.gz::04_topic_outputs/maps_or_matrices/black_zones_matrix.csv::black_zone_matrix</x:v>
      </x:c>
    </x:row>
    <x:row r="530">
      <x:c r="A530" s="19" t="str">
        <x:v>A_flows</x:v>
      </x:c>
      <x:c r="B530" s="19" t="str">
        <x:v>research_evidence_package_health_system_patient_flows_2026-05-30.tar.gz</x:v>
      </x:c>
      <x:c r="C530" s="19" t="str">
        <x:v>Research A / health-system patient flows</x:v>
      </x:c>
      <x:c r="D530" s="19" t="str">
        <x:v>black_zone_matrix</x:v>
      </x:c>
      <x:c r="E530" s="19" t="str"/>
      <x:c r="F530" s="19" t="str"/>
      <x:c r="G530" s="19" t="str"/>
      <x:c r="H530" s="19" t="str"/>
      <x:c r="I530" s="19" t="str"/>
      <x:c r="J530" s="19" t="str"/>
      <x:c r="K530" s="19" t="str"/>
      <x:c r="L530" s="19" t="str"/>
      <x:c r="M530" s="19" t="str"/>
      <x:c r="N530" s="19" t="str"/>
      <x:c r="O530" s="19" t="str"/>
      <x:c r="P530" s="19" t="str"/>
      <x:c r="Q530" s="19" t="str"/>
      <x:c r="R530" s="19" t="str"/>
      <x:c r="S530" s="19" t="str">
        <x:v>medium</x:v>
      </x:c>
      <x:c r="T530" s="19" t="str">
        <x:v>04_topic_outputs/maps_or_matrices/black_zones_matrix.csv</x:v>
      </x:c>
      <x:c r="U530" s="19" t="str">
        <x:v>research_evidence_package_health_system_patient_flows_2026-05-30.tar.gz::04_topic_outputs/maps_or_matrices/black_zones_matrix.csv::black_zone_matrix</x:v>
      </x:c>
    </x:row>
    <x:row r="531">
      <x:c r="A531" s="19" t="str">
        <x:v>A_flows</x:v>
      </x:c>
      <x:c r="B531" s="19" t="str">
        <x:v>research_evidence_package_health_system_patient_flows_2026-05-30.tar.gz</x:v>
      </x:c>
      <x:c r="C531" s="19" t="str">
        <x:v>Research A / health-system patient flows</x:v>
      </x:c>
      <x:c r="D531" s="19" t="str">
        <x:v>black_zone_matrix</x:v>
      </x:c>
      <x:c r="E531" s="19" t="str"/>
      <x:c r="F531" s="19" t="str"/>
      <x:c r="G531" s="19" t="str"/>
      <x:c r="H531" s="19" t="str"/>
      <x:c r="I531" s="19" t="str"/>
      <x:c r="J531" s="19" t="str"/>
      <x:c r="K531" s="19" t="str"/>
      <x:c r="L531" s="19" t="str"/>
      <x:c r="M531" s="19" t="str"/>
      <x:c r="N531" s="19" t="str"/>
      <x:c r="O531" s="19" t="str"/>
      <x:c r="P531" s="19" t="str"/>
      <x:c r="Q531" s="19" t="str"/>
      <x:c r="R531" s="19" t="str"/>
      <x:c r="S531" s="19" t="str">
        <x:v>high</x:v>
      </x:c>
      <x:c r="T531" s="19" t="str">
        <x:v>04_topic_outputs/maps_or_matrices/black_zones_matrix.csv</x:v>
      </x:c>
      <x:c r="U531" s="19" t="str">
        <x:v>research_evidence_package_health_system_patient_flows_2026-05-30.tar.gz::04_topic_outputs/maps_or_matrices/black_zones_matrix.csv::black_zone_matrix</x:v>
      </x:c>
    </x:row>
    <x:row r="532">
      <x:c r="A532" s="19" t="str">
        <x:v>A_flows</x:v>
      </x:c>
      <x:c r="B532" s="19" t="str">
        <x:v>research_evidence_package_health_system_patient_flows_2026-05-30.tar.gz</x:v>
      </x:c>
      <x:c r="C532" s="19" t="str">
        <x:v>Research A / health-system patient flows</x:v>
      </x:c>
      <x:c r="D532" s="19" t="str">
        <x:v>black_zone_matrix</x:v>
      </x:c>
      <x:c r="E532" s="19" t="str"/>
      <x:c r="F532" s="19" t="str"/>
      <x:c r="G532" s="19" t="str"/>
      <x:c r="H532" s="19" t="str"/>
      <x:c r="I532" s="19" t="str"/>
      <x:c r="J532" s="19" t="str"/>
      <x:c r="K532" s="19" t="str"/>
      <x:c r="L532" s="19" t="str"/>
      <x:c r="M532" s="19" t="str"/>
      <x:c r="N532" s="19" t="str"/>
      <x:c r="O532" s="19" t="str"/>
      <x:c r="P532" s="19" t="str"/>
      <x:c r="Q532" s="19" t="str"/>
      <x:c r="R532" s="19" t="str"/>
      <x:c r="S532" s="19" t="str">
        <x:v>medium-high</x:v>
      </x:c>
      <x:c r="T532" s="19" t="str">
        <x:v>04_topic_outputs/maps_or_matrices/black_zones_matrix.csv</x:v>
      </x:c>
      <x:c r="U532" s="19" t="str">
        <x:v>research_evidence_package_health_system_patient_flows_2026-05-30.tar.gz::04_topic_outputs/maps_or_matrices/black_zones_matrix.csv::black_zone_matrix</x:v>
      </x:c>
    </x:row>
    <x:row r="533">
      <x:c r="A533" s="19" t="str">
        <x:v>A_flows</x:v>
      </x:c>
      <x:c r="B533" s="19" t="str">
        <x:v>research_evidence_package_health_system_patient_flows_2026-05-30.tar.gz</x:v>
      </x:c>
      <x:c r="C533" s="19" t="str">
        <x:v>Research A / health-system patient flows</x:v>
      </x:c>
      <x:c r="D533" s="19" t="str">
        <x:v>black_zone_matrix</x:v>
      </x:c>
      <x:c r="E533" s="19" t="str"/>
      <x:c r="F533" s="19" t="str"/>
      <x:c r="G533" s="19" t="str"/>
      <x:c r="H533" s="19" t="str"/>
      <x:c r="I533" s="19" t="str"/>
      <x:c r="J533" s="19" t="str"/>
      <x:c r="K533" s="19" t="str"/>
      <x:c r="L533" s="19" t="str"/>
      <x:c r="M533" s="19" t="str"/>
      <x:c r="N533" s="19" t="str"/>
      <x:c r="O533" s="19" t="str"/>
      <x:c r="P533" s="19" t="str"/>
      <x:c r="Q533" s="19" t="str"/>
      <x:c r="R533" s="19" t="str"/>
      <x:c r="S533" s="19" t="str">
        <x:v>high</x:v>
      </x:c>
      <x:c r="T533" s="19" t="str">
        <x:v>04_topic_outputs/maps_or_matrices/black_zones_matrix.csv</x:v>
      </x:c>
      <x:c r="U533" s="19" t="str">
        <x:v>research_evidence_package_health_system_patient_flows_2026-05-30.tar.gz::04_topic_outputs/maps_or_matrices/black_zones_matrix.csv::black_zone_matrix</x:v>
      </x:c>
    </x:row>
    <x:row r="534">
      <x:c r="A534" s="19" t="str">
        <x:v>A_flows</x:v>
      </x:c>
      <x:c r="B534" s="19" t="str">
        <x:v>research_evidence_package_health_system_patient_flows_2026-05-30.tar.gz</x:v>
      </x:c>
      <x:c r="C534" s="19" t="str">
        <x:v>Research A / health-system patient flows</x:v>
      </x:c>
      <x:c r="D534" s="19" t="str">
        <x:v>black_zone_matrix</x:v>
      </x:c>
      <x:c r="E534" s="19" t="str"/>
      <x:c r="F534" s="19" t="str"/>
      <x:c r="G534" s="19" t="str"/>
      <x:c r="H534" s="19" t="str"/>
      <x:c r="I534" s="19" t="str"/>
      <x:c r="J534" s="19" t="str"/>
      <x:c r="K534" s="19" t="str"/>
      <x:c r="L534" s="19" t="str"/>
      <x:c r="M534" s="19" t="str"/>
      <x:c r="N534" s="19" t="str"/>
      <x:c r="O534" s="19" t="str"/>
      <x:c r="P534" s="19" t="str"/>
      <x:c r="Q534" s="19" t="str"/>
      <x:c r="R534" s="19" t="str"/>
      <x:c r="S534" s="19" t="str">
        <x:v>medium</x:v>
      </x:c>
      <x:c r="T534" s="19" t="str">
        <x:v>04_topic_outputs/maps_or_matrices/black_zones_matrix.csv</x:v>
      </x:c>
      <x:c r="U534" s="19" t="str">
        <x:v>research_evidence_package_health_system_patient_flows_2026-05-30.tar.gz::04_topic_outputs/maps_or_matrices/black_zones_matrix.csv::black_zone_matrix</x:v>
      </x:c>
    </x:row>
    <x:row r="535">
      <x:c r="A535" s="19" t="str">
        <x:v>A_flows</x:v>
      </x:c>
      <x:c r="B535" s="19" t="str">
        <x:v>research_evidence_package_health_system_patient_flows_2026-05-30.tar.gz</x:v>
      </x:c>
      <x:c r="C535" s="19" t="str">
        <x:v>Research A / health-system patient flows</x:v>
      </x:c>
      <x:c r="D535" s="19" t="str">
        <x:v>black_zone_matrix</x:v>
      </x:c>
      <x:c r="E535" s="19" t="str"/>
      <x:c r="F535" s="19" t="str"/>
      <x:c r="G535" s="19" t="str"/>
      <x:c r="H535" s="19" t="str"/>
      <x:c r="I535" s="19" t="str"/>
      <x:c r="J535" s="19" t="str"/>
      <x:c r="K535" s="19" t="str"/>
      <x:c r="L535" s="19" t="str"/>
      <x:c r="M535" s="19" t="str"/>
      <x:c r="N535" s="19" t="str"/>
      <x:c r="O535" s="19" t="str"/>
      <x:c r="P535" s="19" t="str"/>
      <x:c r="Q535" s="19" t="str"/>
      <x:c r="R535" s="19" t="str"/>
      <x:c r="S535" s="19" t="str">
        <x:v>high</x:v>
      </x:c>
      <x:c r="T535" s="19" t="str">
        <x:v>04_topic_outputs/maps_or_matrices/black_zones_matrix.csv</x:v>
      </x:c>
      <x:c r="U535" s="19" t="str">
        <x:v>research_evidence_package_health_system_patient_flows_2026-05-30.tar.gz::04_topic_outputs/maps_or_matrices/black_zones_matrix.csv::black_zone_matrix</x:v>
      </x:c>
    </x:row>
    <x:row r="536">
      <x:c r="A536" s="19" t="str">
        <x:v>A_flows</x:v>
      </x:c>
      <x:c r="B536" s="19" t="str">
        <x:v>research_evidence_package_health_system_patient_flows_2026-05-30.tar.gz</x:v>
      </x:c>
      <x:c r="C536" s="19" t="str">
        <x:v>Research A / health-system patient flows</x:v>
      </x:c>
      <x:c r="D536" s="19" t="str">
        <x:v>black_zone_matrix</x:v>
      </x:c>
      <x:c r="E536" s="19" t="str"/>
      <x:c r="F536" s="19" t="str"/>
      <x:c r="G536" s="19" t="str"/>
      <x:c r="H536" s="19" t="str"/>
      <x:c r="I536" s="19" t="str"/>
      <x:c r="J536" s="19" t="str"/>
      <x:c r="K536" s="19" t="str"/>
      <x:c r="L536" s="19" t="str"/>
      <x:c r="M536" s="19" t="str"/>
      <x:c r="N536" s="19" t="str"/>
      <x:c r="O536" s="19" t="str"/>
      <x:c r="P536" s="19" t="str"/>
      <x:c r="Q536" s="19" t="str"/>
      <x:c r="R536" s="19" t="str"/>
      <x:c r="S536" s="19" t="str">
        <x:v>medium-high</x:v>
      </x:c>
      <x:c r="T536" s="19" t="str">
        <x:v>04_topic_outputs/maps_or_matrices/black_zones_matrix.csv</x:v>
      </x:c>
      <x:c r="U536" s="19" t="str">
        <x:v>research_evidence_package_health_system_patient_flows_2026-05-30.tar.gz::04_topic_outputs/maps_or_matrices/black_zones_matrix.csv::black_zone_matrix</x:v>
      </x:c>
    </x:row>
    <x:row r="537">
      <x:c r="A537" s="19" t="str">
        <x:v>A_flows</x:v>
      </x:c>
      <x:c r="B537" s="19" t="str">
        <x:v>research_evidence_package_health_system_patient_flows_2026-05-30.tar.gz</x:v>
      </x:c>
      <x:c r="C537" s="19" t="str">
        <x:v>Research A / health-system patient flows</x:v>
      </x:c>
      <x:c r="D537" s="19" t="str">
        <x:v>black_zone_matrix</x:v>
      </x:c>
      <x:c r="E537" s="19" t="str"/>
      <x:c r="F537" s="19" t="str"/>
      <x:c r="G537" s="19" t="str"/>
      <x:c r="H537" s="19" t="str"/>
      <x:c r="I537" s="19" t="str"/>
      <x:c r="J537" s="19" t="str"/>
      <x:c r="K537" s="19" t="str"/>
      <x:c r="L537" s="19" t="str"/>
      <x:c r="M537" s="19" t="str"/>
      <x:c r="N537" s="19" t="str"/>
      <x:c r="O537" s="19" t="str"/>
      <x:c r="P537" s="19" t="str"/>
      <x:c r="Q537" s="19" t="str"/>
      <x:c r="R537" s="19" t="str"/>
      <x:c r="S537" s="19" t="str">
        <x:v>medium-low</x:v>
      </x:c>
      <x:c r="T537" s="19" t="str">
        <x:v>04_topic_outputs/maps_or_matrices/black_zones_matrix.csv</x:v>
      </x:c>
      <x:c r="U537" s="19" t="str">
        <x:v>research_evidence_package_health_system_patient_flows_2026-05-30.tar.gz::04_topic_outputs/maps_or_matrices/black_zones_matrix.csv::black_zone_matrix</x:v>
      </x:c>
    </x:row>
    <x:row r="538">
      <x:c r="A538" s="19" t="str">
        <x:v>A_flows</x:v>
      </x:c>
      <x:c r="B538" s="19" t="str">
        <x:v>research_evidence_package_health_system_patient_flows_2026-05-30.tar.gz</x:v>
      </x:c>
      <x:c r="C538" s="19" t="str">
        <x:v>Research A / health-system patient flows</x:v>
      </x:c>
      <x:c r="D538" s="19" t="str">
        <x:v>black_zone_matrix</x:v>
      </x:c>
      <x:c r="E538" s="19" t="str"/>
      <x:c r="F538" s="19" t="str"/>
      <x:c r="G538" s="19" t="str"/>
      <x:c r="H538" s="19" t="str"/>
      <x:c r="I538" s="19" t="str"/>
      <x:c r="J538" s="19" t="str"/>
      <x:c r="K538" s="19" t="str"/>
      <x:c r="L538" s="19" t="str"/>
      <x:c r="M538" s="19" t="str"/>
      <x:c r="N538" s="19" t="str"/>
      <x:c r="O538" s="19" t="str"/>
      <x:c r="P538" s="19" t="str"/>
      <x:c r="Q538" s="19" t="str"/>
      <x:c r="R538" s="19" t="str"/>
      <x:c r="S538" s="19" t="str">
        <x:v>medium-high</x:v>
      </x:c>
      <x:c r="T538" s="19" t="str">
        <x:v>04_topic_outputs/maps_or_matrices/black_zones_matrix.csv</x:v>
      </x:c>
      <x:c r="U538" s="19" t="str">
        <x:v>research_evidence_package_health_system_patient_flows_2026-05-30.tar.gz::04_topic_outputs/maps_or_matrices/black_zones_matrix.csv::black_zone_matrix</x:v>
      </x:c>
    </x:row>
    <x:row r="539">
      <x:c r="A539" s="19" t="str">
        <x:v>A_flows</x:v>
      </x:c>
      <x:c r="B539" s="19" t="str">
        <x:v>research_evidence_package_health_system_patient_flows_2026-05-30.tar.gz</x:v>
      </x:c>
      <x:c r="C539" s="19" t="str">
        <x:v>Research A / health-system patient flows</x:v>
      </x:c>
      <x:c r="D539" s="19" t="str">
        <x:v>black_zone_matrix</x:v>
      </x:c>
      <x:c r="E539" s="19" t="str"/>
      <x:c r="F539" s="19" t="str"/>
      <x:c r="G539" s="19" t="str"/>
      <x:c r="H539" s="19" t="str"/>
      <x:c r="I539" s="19" t="str"/>
      <x:c r="J539" s="19" t="str"/>
      <x:c r="K539" s="19" t="str"/>
      <x:c r="L539" s="19" t="str"/>
      <x:c r="M539" s="19" t="str"/>
      <x:c r="N539" s="19" t="str"/>
      <x:c r="O539" s="19" t="str"/>
      <x:c r="P539" s="19" t="str"/>
      <x:c r="Q539" s="19" t="str"/>
      <x:c r="R539" s="19" t="str"/>
      <x:c r="S539" s="19" t="str">
        <x:v>high</x:v>
      </x:c>
      <x:c r="T539" s="19" t="str">
        <x:v>04_topic_outputs/maps_or_matrices/black_zones_matrix.csv</x:v>
      </x:c>
      <x:c r="U539" s="19" t="str">
        <x:v>research_evidence_package_health_system_patient_flows_2026-05-30.tar.gz::04_topic_outputs/maps_or_matrices/black_zones_matrix.csv::black_zone_matrix</x:v>
      </x:c>
    </x:row>
    <x:row r="540">
      <x:c r="A540" s="19" t="str">
        <x:v>A_flows</x:v>
      </x:c>
      <x:c r="B540" s="19" t="str">
        <x:v>research_evidence_package_health_system_patient_flows_2026-05-30.tar.gz</x:v>
      </x:c>
      <x:c r="C540" s="19" t="str">
        <x:v>Research A / health-system patient flows</x:v>
      </x:c>
      <x:c r="D540" s="19" t="str">
        <x:v>black_zone_matrix</x:v>
      </x:c>
      <x:c r="E540" s="19" t="str"/>
      <x:c r="F540" s="19" t="str"/>
      <x:c r="G540" s="19" t="str"/>
      <x:c r="H540" s="19" t="str"/>
      <x:c r="I540" s="19" t="str"/>
      <x:c r="J540" s="19" t="str"/>
      <x:c r="K540" s="19" t="str"/>
      <x:c r="L540" s="19" t="str"/>
      <x:c r="M540" s="19" t="str"/>
      <x:c r="N540" s="19" t="str"/>
      <x:c r="O540" s="19" t="str"/>
      <x:c r="P540" s="19" t="str"/>
      <x:c r="Q540" s="19" t="str"/>
      <x:c r="R540" s="19" t="str"/>
      <x:c r="S540" s="19" t="str">
        <x:v>high</x:v>
      </x:c>
      <x:c r="T540" s="19" t="str">
        <x:v>04_topic_outputs/maps_or_matrices/black_zones_matrix.csv</x:v>
      </x:c>
      <x:c r="U540" s="19" t="str">
        <x:v>research_evidence_package_health_system_patient_flows_2026-05-30.tar.gz::04_topic_outputs/maps_or_matrices/black_zones_matrix.csv::black_zone_matrix</x:v>
      </x:c>
    </x:row>
    <x:row r="541">
      <x:c r="A541" s="19" t="str">
        <x:v>A_flows</x:v>
      </x:c>
      <x:c r="B541" s="19" t="str">
        <x:v>research_evidence_package_health_system_patient_flows_2026-05-30.tar.gz</x:v>
      </x:c>
      <x:c r="C541" s="19" t="str">
        <x:v>Research A / health-system patient flows</x:v>
      </x:c>
      <x:c r="D541" s="19" t="str">
        <x:v>black_zone_matrix</x:v>
      </x:c>
      <x:c r="E541" s="19" t="str"/>
      <x:c r="F541" s="19" t="str"/>
      <x:c r="G541" s="19" t="str"/>
      <x:c r="H541" s="19" t="str"/>
      <x:c r="I541" s="19" t="str"/>
      <x:c r="J541" s="19" t="str"/>
      <x:c r="K541" s="19" t="str"/>
      <x:c r="L541" s="19" t="str"/>
      <x:c r="M541" s="19" t="str"/>
      <x:c r="N541" s="19" t="str"/>
      <x:c r="O541" s="19" t="str"/>
      <x:c r="P541" s="19" t="str"/>
      <x:c r="Q541" s="19" t="str"/>
      <x:c r="R541" s="19" t="str"/>
      <x:c r="S541" s="19" t="str">
        <x:v>medium-low</x:v>
      </x:c>
      <x:c r="T541" s="19" t="str">
        <x:v>04_topic_outputs/maps_or_matrices/black_zones_matrix.csv</x:v>
      </x:c>
      <x:c r="U541" s="19" t="str">
        <x:v>research_evidence_package_health_system_patient_flows_2026-05-30.tar.gz::04_topic_outputs/maps_or_matrices/black_zones_matrix.csv::black_zone_matrix</x:v>
      </x:c>
    </x:row>
    <x:row r="542">
      <x:c r="A542" s="19" t="str">
        <x:v>A_flows</x:v>
      </x:c>
      <x:c r="B542" s="19" t="str">
        <x:v>research_evidence_package_health_system_patient_flows_2026-05-30.tar.gz</x:v>
      </x:c>
      <x:c r="C542" s="19" t="str">
        <x:v>Research A / health-system patient flows</x:v>
      </x:c>
      <x:c r="D542" s="19" t="str">
        <x:v>black_zone_matrix</x:v>
      </x:c>
      <x:c r="E542" s="19" t="str"/>
      <x:c r="F542" s="19" t="str"/>
      <x:c r="G542" s="19" t="str"/>
      <x:c r="H542" s="19" t="str"/>
      <x:c r="I542" s="19" t="str"/>
      <x:c r="J542" s="19" t="str"/>
      <x:c r="K542" s="19" t="str"/>
      <x:c r="L542" s="19" t="str"/>
      <x:c r="M542" s="19" t="str"/>
      <x:c r="N542" s="19" t="str"/>
      <x:c r="O542" s="19" t="str"/>
      <x:c r="P542" s="19" t="str"/>
      <x:c r="Q542" s="19" t="str"/>
      <x:c r="R542" s="19" t="str"/>
      <x:c r="S542" s="19" t="str">
        <x:v>medium-low</x:v>
      </x:c>
      <x:c r="T542" s="19" t="str">
        <x:v>04_topic_outputs/maps_or_matrices/black_zones_matrix.csv</x:v>
      </x:c>
      <x:c r="U542" s="19" t="str">
        <x:v>research_evidence_package_health_system_patient_flows_2026-05-30.tar.gz::04_topic_outputs/maps_or_matrices/black_zones_matrix.csv::black_zone_matrix</x:v>
      </x:c>
    </x:row>
    <x:row r="543">
      <x:c r="A543" s="19" t="str">
        <x:v>A_flows</x:v>
      </x:c>
      <x:c r="B543" s="19" t="str">
        <x:v>research_evidence_package_health_system_patient_flows_2026-05-30.tar.gz</x:v>
      </x:c>
      <x:c r="C543" s="19" t="str">
        <x:v>Research A / health-system patient flows</x:v>
      </x:c>
      <x:c r="D543" s="19" t="str">
        <x:v>black_zone_matrix</x:v>
      </x:c>
      <x:c r="E543" s="19" t="str"/>
      <x:c r="F543" s="19" t="str"/>
      <x:c r="G543" s="19" t="str"/>
      <x:c r="H543" s="19" t="str"/>
      <x:c r="I543" s="19" t="str"/>
      <x:c r="J543" s="19" t="str"/>
      <x:c r="K543" s="19" t="str"/>
      <x:c r="L543" s="19" t="str"/>
      <x:c r="M543" s="19" t="str"/>
      <x:c r="N543" s="19" t="str"/>
      <x:c r="O543" s="19" t="str"/>
      <x:c r="P543" s="19" t="str"/>
      <x:c r="Q543" s="19" t="str"/>
      <x:c r="R543" s="19" t="str"/>
      <x:c r="S543" s="19" t="str">
        <x:v>high</x:v>
      </x:c>
      <x:c r="T543" s="19" t="str">
        <x:v>04_topic_outputs/maps_or_matrices/black_zones_matrix.csv</x:v>
      </x:c>
      <x:c r="U543" s="19" t="str">
        <x:v>research_evidence_package_health_system_patient_flows_2026-05-30.tar.gz::04_topic_outputs/maps_or_matrices/black_zones_matrix.csv::black_zone_matrix</x:v>
      </x:c>
    </x:row>
    <x:row r="544">
      <x:c r="A544" s="19" t="str">
        <x:v>A_flows</x:v>
      </x:c>
      <x:c r="B544" s="19" t="str">
        <x:v>research_evidence_package_health_system_patient_flows_2026-05-30.tar.gz</x:v>
      </x:c>
      <x:c r="C544" s="19" t="str">
        <x:v>Research A / health-system patient flows</x:v>
      </x:c>
      <x:c r="D544" s="19" t="str">
        <x:v>black_zone_matrix</x:v>
      </x:c>
      <x:c r="E544" s="19" t="str"/>
      <x:c r="F544" s="19" t="str"/>
      <x:c r="G544" s="19" t="str"/>
      <x:c r="H544" s="19" t="str"/>
      <x:c r="I544" s="19" t="str"/>
      <x:c r="J544" s="19" t="str"/>
      <x:c r="K544" s="19" t="str"/>
      <x:c r="L544" s="19" t="str"/>
      <x:c r="M544" s="19" t="str"/>
      <x:c r="N544" s="19" t="str"/>
      <x:c r="O544" s="19" t="str"/>
      <x:c r="P544" s="19" t="str"/>
      <x:c r="Q544" s="19" t="str"/>
      <x:c r="R544" s="19" t="str"/>
      <x:c r="S544" s="19" t="str">
        <x:v>medium-high</x:v>
      </x:c>
      <x:c r="T544" s="19" t="str">
        <x:v>04_topic_outputs/maps_or_matrices/black_zones_matrix.csv</x:v>
      </x:c>
      <x:c r="U544" s="19" t="str">
        <x:v>research_evidence_package_health_system_patient_flows_2026-05-30.tar.gz::04_topic_outputs/maps_or_matrices/black_zones_matrix.csv::black_zone_matrix</x:v>
      </x:c>
    </x:row>
    <x:row r="545">
      <x:c r="A545" s="19" t="str">
        <x:v>A_flows</x:v>
      </x:c>
      <x:c r="B545" s="19" t="str">
        <x:v>research_evidence_package_health_system_patient_flows_2026-05-30.tar.gz</x:v>
      </x:c>
      <x:c r="C545" s="19" t="str">
        <x:v>Research A / health-system patient flows</x:v>
      </x:c>
      <x:c r="D545" s="19" t="str">
        <x:v>black_zone_matrix</x:v>
      </x:c>
      <x:c r="E545" s="19" t="str"/>
      <x:c r="F545" s="19" t="str"/>
      <x:c r="G545" s="19" t="str"/>
      <x:c r="H545" s="19" t="str"/>
      <x:c r="I545" s="19" t="str"/>
      <x:c r="J545" s="19" t="str"/>
      <x:c r="K545" s="19" t="str"/>
      <x:c r="L545" s="19" t="str"/>
      <x:c r="M545" s="19" t="str"/>
      <x:c r="N545" s="19" t="str"/>
      <x:c r="O545" s="19" t="str"/>
      <x:c r="P545" s="19" t="str"/>
      <x:c r="Q545" s="19" t="str"/>
      <x:c r="R545" s="19" t="str"/>
      <x:c r="S545" s="19" t="str">
        <x:v>high</x:v>
      </x:c>
      <x:c r="T545" s="19" t="str">
        <x:v>04_topic_outputs/maps_or_matrices/black_zones_matrix.csv</x:v>
      </x:c>
      <x:c r="U545" s="19" t="str">
        <x:v>research_evidence_package_health_system_patient_flows_2026-05-30.tar.gz::04_topic_outputs/maps_or_matrices/black_zones_matrix.csv::black_zone_matrix</x:v>
      </x:c>
    </x:row>
    <x:row r="546">
      <x:c r="A546" s="19" t="str">
        <x:v>A_flows</x:v>
      </x:c>
      <x:c r="B546" s="19" t="str">
        <x:v>research_evidence_package_health_system_patient_flows_2026-05-30.tar.gz</x:v>
      </x:c>
      <x:c r="C546" s="19" t="str">
        <x:v>Research A / health-system patient flows</x:v>
      </x:c>
      <x:c r="D546" s="19" t="str">
        <x:v>black_zone_matrix</x:v>
      </x:c>
      <x:c r="E546" s="19" t="str"/>
      <x:c r="F546" s="19" t="str"/>
      <x:c r="G546" s="19" t="str"/>
      <x:c r="H546" s="19" t="str"/>
      <x:c r="I546" s="19" t="str"/>
      <x:c r="J546" s="19" t="str"/>
      <x:c r="K546" s="19" t="str"/>
      <x:c r="L546" s="19" t="str"/>
      <x:c r="M546" s="19" t="str"/>
      <x:c r="N546" s="19" t="str"/>
      <x:c r="O546" s="19" t="str"/>
      <x:c r="P546" s="19" t="str"/>
      <x:c r="Q546" s="19" t="str"/>
      <x:c r="R546" s="19" t="str"/>
      <x:c r="S546" s="19" t="str">
        <x:v>medium</x:v>
      </x:c>
      <x:c r="T546" s="19" t="str">
        <x:v>04_topic_outputs/maps_or_matrices/black_zones_matrix.csv</x:v>
      </x:c>
      <x:c r="U546" s="19" t="str">
        <x:v>research_evidence_package_health_system_patient_flows_2026-05-30.tar.gz::04_topic_outputs/maps_or_matrices/black_zones_matrix.csv::black_zone_matrix</x:v>
      </x:c>
    </x:row>
    <x:row r="547">
      <x:c r="A547" s="19" t="str">
        <x:v>A_flows</x:v>
      </x:c>
      <x:c r="B547" s="19" t="str">
        <x:v>research_evidence_package_health_system_patient_flows_2026-05-30.tar.gz</x:v>
      </x:c>
      <x:c r="C547" s="19" t="str">
        <x:v>Research A / health-system patient flows</x:v>
      </x:c>
      <x:c r="D547" s="19" t="str">
        <x:v>black_zone_matrix</x:v>
      </x:c>
      <x:c r="E547" s="19" t="str"/>
      <x:c r="F547" s="19" t="str"/>
      <x:c r="G547" s="19" t="str"/>
      <x:c r="H547" s="19" t="str"/>
      <x:c r="I547" s="19" t="str"/>
      <x:c r="J547" s="19" t="str"/>
      <x:c r="K547" s="19" t="str"/>
      <x:c r="L547" s="19" t="str"/>
      <x:c r="M547" s="19" t="str"/>
      <x:c r="N547" s="19" t="str"/>
      <x:c r="O547" s="19" t="str"/>
      <x:c r="P547" s="19" t="str"/>
      <x:c r="Q547" s="19" t="str"/>
      <x:c r="R547" s="19" t="str"/>
      <x:c r="S547" s="19" t="str">
        <x:v>medium</x:v>
      </x:c>
      <x:c r="T547" s="19" t="str">
        <x:v>04_topic_outputs/maps_or_matrices/black_zones_matrix.csv</x:v>
      </x:c>
      <x:c r="U547" s="19" t="str">
        <x:v>research_evidence_package_health_system_patient_flows_2026-05-30.tar.gz::04_topic_outputs/maps_or_matrices/black_zones_matrix.csv::black_zone_matrix</x:v>
      </x:c>
    </x:row>
    <x:row r="548">
      <x:c r="A548" s="19" t="str">
        <x:v>A_flows</x:v>
      </x:c>
      <x:c r="B548" s="19" t="str">
        <x:v>research_evidence_package_health_system_patient_flows_2026-05-30.tar.gz</x:v>
      </x:c>
      <x:c r="C548" s="19" t="str">
        <x:v>Research A / health-system patient flows</x:v>
      </x:c>
      <x:c r="D548" s="19" t="str">
        <x:v>stage_data_matrix</x:v>
      </x:c>
      <x:c r="E548" s="19" t="str"/>
      <x:c r="F548" s="19" t="str"/>
      <x:c r="G548" s="19" t="str"/>
      <x:c r="H548" s="19" t="str"/>
      <x:c r="I548" s="19" t="str"/>
      <x:c r="J548" s="19" t="str"/>
      <x:c r="K548" s="19" t="str"/>
      <x:c r="L548" s="19" t="str"/>
      <x:c r="M548" s="19" t="str"/>
      <x:c r="N548" s="19" t="str"/>
      <x:c r="O548" s="19" t="str"/>
      <x:c r="P548" s="19" t="str"/>
      <x:c r="Q548" s="19" t="str"/>
      <x:c r="R548" s="19" t="str"/>
      <x:c r="S548" s="19" t="str"/>
      <x:c r="T548" s="19" t="str">
        <x:v>04_topic_outputs/maps_or_matrices/stage_data_matrix.csv</x:v>
      </x:c>
      <x:c r="U548" s="19" t="str">
        <x:v>research_evidence_package_health_system_patient_flows_2026-05-30.tar.gz::04_topic_outputs/maps_or_matrices/stage_data_matrix.csv::stage_data_matrix</x:v>
      </x:c>
    </x:row>
    <x:row r="549">
      <x:c r="A549" s="19" t="str">
        <x:v>A_flows</x:v>
      </x:c>
      <x:c r="B549" s="19" t="str">
        <x:v>research_evidence_package_health_system_patient_flows_2026-05-30.tar.gz</x:v>
      </x:c>
      <x:c r="C549" s="19" t="str">
        <x:v>Research A / health-system patient flows</x:v>
      </x:c>
      <x:c r="D549" s="19" t="str">
        <x:v>stage_data_matrix</x:v>
      </x:c>
      <x:c r="E549" s="19" t="str"/>
      <x:c r="F549" s="19" t="str"/>
      <x:c r="G549" s="19" t="str"/>
      <x:c r="H549" s="19" t="str"/>
      <x:c r="I549" s="19" t="str"/>
      <x:c r="J549" s="19" t="str"/>
      <x:c r="K549" s="19" t="str"/>
      <x:c r="L549" s="19" t="str"/>
      <x:c r="M549" s="19" t="str"/>
      <x:c r="N549" s="19" t="str"/>
      <x:c r="O549" s="19" t="str"/>
      <x:c r="P549" s="19" t="str"/>
      <x:c r="Q549" s="19" t="str"/>
      <x:c r="R549" s="19" t="str"/>
      <x:c r="S549" s="19" t="str"/>
      <x:c r="T549" s="19" t="str">
        <x:v>04_topic_outputs/maps_or_matrices/stage_data_matrix.csv</x:v>
      </x:c>
      <x:c r="U549" s="19" t="str">
        <x:v>research_evidence_package_health_system_patient_flows_2026-05-30.tar.gz::04_topic_outputs/maps_or_matrices/stage_data_matrix.csv::stage_data_matrix</x:v>
      </x:c>
    </x:row>
    <x:row r="550">
      <x:c r="A550" s="19" t="str">
        <x:v>A_flows</x:v>
      </x:c>
      <x:c r="B550" s="19" t="str">
        <x:v>research_evidence_package_health_system_patient_flows_2026-05-30.tar.gz</x:v>
      </x:c>
      <x:c r="C550" s="19" t="str">
        <x:v>Research A / health-system patient flows</x:v>
      </x:c>
      <x:c r="D550" s="19" t="str">
        <x:v>stage_data_matrix</x:v>
      </x:c>
      <x:c r="E550" s="19" t="str"/>
      <x:c r="F550" s="19" t="str"/>
      <x:c r="G550" s="19" t="str"/>
      <x:c r="H550" s="19" t="str"/>
      <x:c r="I550" s="19" t="str"/>
      <x:c r="J550" s="19" t="str"/>
      <x:c r="K550" s="19" t="str"/>
      <x:c r="L550" s="19" t="str"/>
      <x:c r="M550" s="19" t="str"/>
      <x:c r="N550" s="19" t="str"/>
      <x:c r="O550" s="19" t="str"/>
      <x:c r="P550" s="19" t="str"/>
      <x:c r="Q550" s="19" t="str"/>
      <x:c r="R550" s="19" t="str"/>
      <x:c r="S550" s="19" t="str"/>
      <x:c r="T550" s="19" t="str">
        <x:v>04_topic_outputs/maps_or_matrices/stage_data_matrix.csv</x:v>
      </x:c>
      <x:c r="U550" s="19" t="str">
        <x:v>research_evidence_package_health_system_patient_flows_2026-05-30.tar.gz::04_topic_outputs/maps_or_matrices/stage_data_matrix.csv::stage_data_matrix</x:v>
      </x:c>
    </x:row>
    <x:row r="551">
      <x:c r="A551" s="19" t="str">
        <x:v>A_flows</x:v>
      </x:c>
      <x:c r="B551" s="19" t="str">
        <x:v>research_evidence_package_health_system_patient_flows_2026-05-30.tar.gz</x:v>
      </x:c>
      <x:c r="C551" s="19" t="str">
        <x:v>Research A / health-system patient flows</x:v>
      </x:c>
      <x:c r="D551" s="19" t="str">
        <x:v>stage_data_matrix</x:v>
      </x:c>
      <x:c r="E551" s="19" t="str"/>
      <x:c r="F551" s="19" t="str"/>
      <x:c r="G551" s="19" t="str"/>
      <x:c r="H551" s="19" t="str"/>
      <x:c r="I551" s="19" t="str"/>
      <x:c r="J551" s="19" t="str"/>
      <x:c r="K551" s="19" t="str"/>
      <x:c r="L551" s="19" t="str"/>
      <x:c r="M551" s="19" t="str"/>
      <x:c r="N551" s="19" t="str"/>
      <x:c r="O551" s="19" t="str"/>
      <x:c r="P551" s="19" t="str"/>
      <x:c r="Q551" s="19" t="str"/>
      <x:c r="R551" s="19" t="str"/>
      <x:c r="S551" s="19" t="str"/>
      <x:c r="T551" s="19" t="str">
        <x:v>04_topic_outputs/maps_or_matrices/stage_data_matrix.csv</x:v>
      </x:c>
      <x:c r="U551" s="19" t="str">
        <x:v>research_evidence_package_health_system_patient_flows_2026-05-30.tar.gz::04_topic_outputs/maps_or_matrices/stage_data_matrix.csv::stage_data_matrix</x:v>
      </x:c>
    </x:row>
    <x:row r="552">
      <x:c r="A552" s="19" t="str">
        <x:v>A_flows</x:v>
      </x:c>
      <x:c r="B552" s="19" t="str">
        <x:v>research_evidence_package_health_system_patient_flows_2026-05-30.tar.gz</x:v>
      </x:c>
      <x:c r="C552" s="19" t="str">
        <x:v>Research A / health-system patient flows</x:v>
      </x:c>
      <x:c r="D552" s="19" t="str">
        <x:v>stage_data_matrix</x:v>
      </x:c>
      <x:c r="E552" s="19" t="str"/>
      <x:c r="F552" s="19" t="str"/>
      <x:c r="G552" s="19" t="str"/>
      <x:c r="H552" s="19" t="str"/>
      <x:c r="I552" s="19" t="str"/>
      <x:c r="J552" s="19" t="str"/>
      <x:c r="K552" s="19" t="str"/>
      <x:c r="L552" s="19" t="str"/>
      <x:c r="M552" s="19" t="str"/>
      <x:c r="N552" s="19" t="str"/>
      <x:c r="O552" s="19" t="str"/>
      <x:c r="P552" s="19" t="str"/>
      <x:c r="Q552" s="19" t="str"/>
      <x:c r="R552" s="19" t="str"/>
      <x:c r="S552" s="19" t="str"/>
      <x:c r="T552" s="19" t="str">
        <x:v>04_topic_outputs/maps_or_matrices/stage_data_matrix.csv</x:v>
      </x:c>
      <x:c r="U552" s="19" t="str">
        <x:v>research_evidence_package_health_system_patient_flows_2026-05-30.tar.gz::04_topic_outputs/maps_or_matrices/stage_data_matrix.csv::stage_data_matrix</x:v>
      </x:c>
    </x:row>
    <x:row r="553">
      <x:c r="A553" s="19" t="str">
        <x:v>A_flows</x:v>
      </x:c>
      <x:c r="B553" s="19" t="str">
        <x:v>research_evidence_package_health_system_patient_flows_2026-05-30.tar.gz</x:v>
      </x:c>
      <x:c r="C553" s="19" t="str">
        <x:v>Research A / health-system patient flows</x:v>
      </x:c>
      <x:c r="D553" s="19" t="str">
        <x:v>stage_data_matrix</x:v>
      </x:c>
      <x:c r="E553" s="19" t="str"/>
      <x:c r="F553" s="19" t="str"/>
      <x:c r="G553" s="19" t="str"/>
      <x:c r="H553" s="19" t="str"/>
      <x:c r="I553" s="19" t="str"/>
      <x:c r="J553" s="19" t="str"/>
      <x:c r="K553" s="19" t="str"/>
      <x:c r="L553" s="19" t="str"/>
      <x:c r="M553" s="19" t="str"/>
      <x:c r="N553" s="19" t="str"/>
      <x:c r="O553" s="19" t="str"/>
      <x:c r="P553" s="19" t="str"/>
      <x:c r="Q553" s="19" t="str"/>
      <x:c r="R553" s="19" t="str"/>
      <x:c r="S553" s="19" t="str"/>
      <x:c r="T553" s="19" t="str">
        <x:v>04_topic_outputs/maps_or_matrices/stage_data_matrix.csv</x:v>
      </x:c>
      <x:c r="U553" s="19" t="str">
        <x:v>research_evidence_package_health_system_patient_flows_2026-05-30.tar.gz::04_topic_outputs/maps_or_matrices/stage_data_matrix.csv::stage_data_matrix</x:v>
      </x:c>
    </x:row>
    <x:row r="554">
      <x:c r="A554" s="19" t="str">
        <x:v>A_flows</x:v>
      </x:c>
      <x:c r="B554" s="19" t="str">
        <x:v>research_evidence_package_health_system_patient_flows_2026-05-30.tar.gz</x:v>
      </x:c>
      <x:c r="C554" s="19" t="str">
        <x:v>Research A / health-system patient flows</x:v>
      </x:c>
      <x:c r="D554" s="19" t="str">
        <x:v>stage_data_matrix</x:v>
      </x:c>
      <x:c r="E554" s="19" t="str"/>
      <x:c r="F554" s="19" t="str"/>
      <x:c r="G554" s="19" t="str"/>
      <x:c r="H554" s="19" t="str"/>
      <x:c r="I554" s="19" t="str"/>
      <x:c r="J554" s="19" t="str"/>
      <x:c r="K554" s="19" t="str"/>
      <x:c r="L554" s="19" t="str"/>
      <x:c r="M554" s="19" t="str"/>
      <x:c r="N554" s="19" t="str"/>
      <x:c r="O554" s="19" t="str"/>
      <x:c r="P554" s="19" t="str"/>
      <x:c r="Q554" s="19" t="str"/>
      <x:c r="R554" s="19" t="str"/>
      <x:c r="S554" s="19" t="str"/>
      <x:c r="T554" s="19" t="str">
        <x:v>04_topic_outputs/maps_or_matrices/stage_data_matrix.csv</x:v>
      </x:c>
      <x:c r="U554" s="19" t="str">
        <x:v>research_evidence_package_health_system_patient_flows_2026-05-30.tar.gz::04_topic_outputs/maps_or_matrices/stage_data_matrix.csv::stage_data_matrix</x:v>
      </x:c>
    </x:row>
    <x:row r="555">
      <x:c r="A555" s="19" t="str">
        <x:v>A_flows</x:v>
      </x:c>
      <x:c r="B555" s="19" t="str">
        <x:v>research_evidence_package_health_system_patient_flows_2026-05-30.tar.gz</x:v>
      </x:c>
      <x:c r="C555" s="19" t="str">
        <x:v>Research A / health-system patient flows</x:v>
      </x:c>
      <x:c r="D555" s="19" t="str">
        <x:v>stage_data_matrix</x:v>
      </x:c>
      <x:c r="E555" s="19" t="str"/>
      <x:c r="F555" s="19" t="str"/>
      <x:c r="G555" s="19" t="str"/>
      <x:c r="H555" s="19" t="str"/>
      <x:c r="I555" s="19" t="str"/>
      <x:c r="J555" s="19" t="str"/>
      <x:c r="K555" s="19" t="str"/>
      <x:c r="L555" s="19" t="str"/>
      <x:c r="M555" s="19" t="str"/>
      <x:c r="N555" s="19" t="str"/>
      <x:c r="O555" s="19" t="str"/>
      <x:c r="P555" s="19" t="str"/>
      <x:c r="Q555" s="19" t="str"/>
      <x:c r="R555" s="19" t="str"/>
      <x:c r="S555" s="19" t="str"/>
      <x:c r="T555" s="19" t="str">
        <x:v>04_topic_outputs/maps_or_matrices/stage_data_matrix.csv</x:v>
      </x:c>
      <x:c r="U555" s="19" t="str">
        <x:v>research_evidence_package_health_system_patient_flows_2026-05-30.tar.gz::04_topic_outputs/maps_or_matrices/stage_data_matrix.csv::stage_data_matrix</x:v>
      </x:c>
    </x:row>
    <x:row r="556">
      <x:c r="A556" s="19" t="str">
        <x:v>A_flows</x:v>
      </x:c>
      <x:c r="B556" s="19" t="str">
        <x:v>research_evidence_package_health_system_patient_flows_2026-05-30.tar.gz</x:v>
      </x:c>
      <x:c r="C556" s="19" t="str">
        <x:v>Research A / health-system patient flows</x:v>
      </x:c>
      <x:c r="D556" s="19" t="str">
        <x:v>stage_data_matrix</x:v>
      </x:c>
      <x:c r="E556" s="19" t="str"/>
      <x:c r="F556" s="19" t="str"/>
      <x:c r="G556" s="19" t="str"/>
      <x:c r="H556" s="19" t="str"/>
      <x:c r="I556" s="19" t="str"/>
      <x:c r="J556" s="19" t="str"/>
      <x:c r="K556" s="19" t="str"/>
      <x:c r="L556" s="19" t="str"/>
      <x:c r="M556" s="19" t="str"/>
      <x:c r="N556" s="19" t="str"/>
      <x:c r="O556" s="19" t="str"/>
      <x:c r="P556" s="19" t="str"/>
      <x:c r="Q556" s="19" t="str"/>
      <x:c r="R556" s="19" t="str"/>
      <x:c r="S556" s="19" t="str"/>
      <x:c r="T556" s="19" t="str">
        <x:v>04_topic_outputs/maps_or_matrices/stage_data_matrix.csv</x:v>
      </x:c>
      <x:c r="U556" s="19" t="str">
        <x:v>research_evidence_package_health_system_patient_flows_2026-05-30.tar.gz::04_topic_outputs/maps_or_matrices/stage_data_matrix.csv::stage_data_matrix</x:v>
      </x:c>
    </x:row>
    <x:row r="557">
      <x:c r="A557" s="19" t="str">
        <x:v>A_flows</x:v>
      </x:c>
      <x:c r="B557" s="19" t="str">
        <x:v>research_evidence_package_health_system_patient_flows_2026-05-30.tar.gz</x:v>
      </x:c>
      <x:c r="C557" s="19" t="str">
        <x:v>Research A / health-system patient flows</x:v>
      </x:c>
      <x:c r="D557" s="19" t="str">
        <x:v>stage_data_matrix</x:v>
      </x:c>
      <x:c r="E557" s="19" t="str"/>
      <x:c r="F557" s="19" t="str"/>
      <x:c r="G557" s="19" t="str"/>
      <x:c r="H557" s="19" t="str"/>
      <x:c r="I557" s="19" t="str"/>
      <x:c r="J557" s="19" t="str"/>
      <x:c r="K557" s="19" t="str"/>
      <x:c r="L557" s="19" t="str"/>
      <x:c r="M557" s="19" t="str"/>
      <x:c r="N557" s="19" t="str"/>
      <x:c r="O557" s="19" t="str"/>
      <x:c r="P557" s="19" t="str"/>
      <x:c r="Q557" s="19" t="str"/>
      <x:c r="R557" s="19" t="str"/>
      <x:c r="S557" s="19" t="str"/>
      <x:c r="T557" s="19" t="str">
        <x:v>04_topic_outputs/maps_or_matrices/stage_data_matrix.csv</x:v>
      </x:c>
      <x:c r="U557" s="19" t="str">
        <x:v>research_evidence_package_health_system_patient_flows_2026-05-30.tar.gz::04_topic_outputs/maps_or_matrices/stage_data_matrix.csv::stage_data_matrix</x:v>
      </x:c>
    </x:row>
    <x:row r="558">
      <x:c r="A558" s="19" t="str">
        <x:v>A_flows</x:v>
      </x:c>
      <x:c r="B558" s="19" t="str">
        <x:v>research_evidence_package_health_system_patient_flows_2026-05-30.tar.gz</x:v>
      </x:c>
      <x:c r="C558" s="19" t="str">
        <x:v>Research A / health-system patient flows</x:v>
      </x:c>
      <x:c r="D558" s="19" t="str">
        <x:v>stage_data_matrix</x:v>
      </x:c>
      <x:c r="E558" s="19" t="str"/>
      <x:c r="F558" s="19" t="str"/>
      <x:c r="G558" s="19" t="str"/>
      <x:c r="H558" s="19" t="str"/>
      <x:c r="I558" s="19" t="str"/>
      <x:c r="J558" s="19" t="str"/>
      <x:c r="K558" s="19" t="str"/>
      <x:c r="L558" s="19" t="str"/>
      <x:c r="M558" s="19" t="str"/>
      <x:c r="N558" s="19" t="str"/>
      <x:c r="O558" s="19" t="str"/>
      <x:c r="P558" s="19" t="str"/>
      <x:c r="Q558" s="19" t="str"/>
      <x:c r="R558" s="19" t="str"/>
      <x:c r="S558" s="19" t="str"/>
      <x:c r="T558" s="19" t="str">
        <x:v>04_topic_outputs/maps_or_matrices/stage_data_matrix.csv</x:v>
      </x:c>
      <x:c r="U558" s="19" t="str">
        <x:v>research_evidence_package_health_system_patient_flows_2026-05-30.tar.gz::04_topic_outputs/maps_or_matrices/stage_data_matrix.csv::stage_data_matrix</x:v>
      </x:c>
    </x:row>
    <x:row r="559">
      <x:c r="A559" s="19" t="str">
        <x:v>A_flows</x:v>
      </x:c>
      <x:c r="B559" s="19" t="str">
        <x:v>research_evidence_package_health_system_patient_flows_2026-05-30.tar.gz</x:v>
      </x:c>
      <x:c r="C559" s="19" t="str">
        <x:v>Research A / health-system patient flows</x:v>
      </x:c>
      <x:c r="D559" s="19" t="str">
        <x:v>stage_data_matrix</x:v>
      </x:c>
      <x:c r="E559" s="19" t="str"/>
      <x:c r="F559" s="19" t="str"/>
      <x:c r="G559" s="19" t="str"/>
      <x:c r="H559" s="19" t="str"/>
      <x:c r="I559" s="19" t="str"/>
      <x:c r="J559" s="19" t="str"/>
      <x:c r="K559" s="19" t="str"/>
      <x:c r="L559" s="19" t="str"/>
      <x:c r="M559" s="19" t="str"/>
      <x:c r="N559" s="19" t="str"/>
      <x:c r="O559" s="19" t="str"/>
      <x:c r="P559" s="19" t="str"/>
      <x:c r="Q559" s="19" t="str"/>
      <x:c r="R559" s="19" t="str"/>
      <x:c r="S559" s="19" t="str"/>
      <x:c r="T559" s="19" t="str">
        <x:v>04_topic_outputs/maps_or_matrices/stage_data_matrix.csv</x:v>
      </x:c>
      <x:c r="U559" s="19" t="str">
        <x:v>research_evidence_package_health_system_patient_flows_2026-05-30.tar.gz::04_topic_outputs/maps_or_matrices/stage_data_matrix.csv::stage_data_matrix</x:v>
      </x:c>
    </x:row>
    <x:row r="560">
      <x:c r="A560" s="19" t="str">
        <x:v>A_flows</x:v>
      </x:c>
      <x:c r="B560" s="19" t="str">
        <x:v>research_evidence_package_health_system_patient_flows_2026-05-30.tar.gz</x:v>
      </x:c>
      <x:c r="C560" s="19" t="str">
        <x:v>Research A / health-system patient flows</x:v>
      </x:c>
      <x:c r="D560" s="19" t="str">
        <x:v>stage_data_matrix</x:v>
      </x:c>
      <x:c r="E560" s="19" t="str"/>
      <x:c r="F560" s="19" t="str"/>
      <x:c r="G560" s="19" t="str"/>
      <x:c r="H560" s="19" t="str"/>
      <x:c r="I560" s="19" t="str"/>
      <x:c r="J560" s="19" t="str"/>
      <x:c r="K560" s="19" t="str"/>
      <x:c r="L560" s="19" t="str"/>
      <x:c r="M560" s="19" t="str"/>
      <x:c r="N560" s="19" t="str"/>
      <x:c r="O560" s="19" t="str"/>
      <x:c r="P560" s="19" t="str"/>
      <x:c r="Q560" s="19" t="str"/>
      <x:c r="R560" s="19" t="str"/>
      <x:c r="S560" s="19" t="str"/>
      <x:c r="T560" s="19" t="str">
        <x:v>04_topic_outputs/maps_or_matrices/stage_data_matrix.csv</x:v>
      </x:c>
      <x:c r="U560" s="19" t="str">
        <x:v>research_evidence_package_health_system_patient_flows_2026-05-30.tar.gz::04_topic_outputs/maps_or_matrices/stage_data_matrix.csv::stage_data_matrix</x:v>
      </x:c>
    </x:row>
    <x:row r="561">
      <x:c r="A561" s="19" t="str">
        <x:v>A_flows</x:v>
      </x:c>
      <x:c r="B561" s="19" t="str">
        <x:v>research_evidence_package_health_system_patient_flows_2026-05-30.tar.gz</x:v>
      </x:c>
      <x:c r="C561" s="19" t="str">
        <x:v>Research A / health-system patient flows</x:v>
      </x:c>
      <x:c r="D561" s="19" t="str">
        <x:v>stage_data_matrix</x:v>
      </x:c>
      <x:c r="E561" s="19" t="str"/>
      <x:c r="F561" s="19" t="str"/>
      <x:c r="G561" s="19" t="str"/>
      <x:c r="H561" s="19" t="str"/>
      <x:c r="I561" s="19" t="str"/>
      <x:c r="J561" s="19" t="str"/>
      <x:c r="K561" s="19" t="str"/>
      <x:c r="L561" s="19" t="str"/>
      <x:c r="M561" s="19" t="str"/>
      <x:c r="N561" s="19" t="str"/>
      <x:c r="O561" s="19" t="str"/>
      <x:c r="P561" s="19" t="str"/>
      <x:c r="Q561" s="19" t="str"/>
      <x:c r="R561" s="19" t="str"/>
      <x:c r="S561" s="19" t="str"/>
      <x:c r="T561" s="19" t="str">
        <x:v>04_topic_outputs/maps_or_matrices/stage_data_matrix.csv</x:v>
      </x:c>
      <x:c r="U561" s="19" t="str">
        <x:v>research_evidence_package_health_system_patient_flows_2026-05-30.tar.gz::04_topic_outputs/maps_or_matrices/stage_data_matrix.csv::stage_data_matrix</x:v>
      </x:c>
    </x:row>
    <x:row r="562">
      <x:c r="A562" s="19" t="str">
        <x:v>A_flows</x:v>
      </x:c>
      <x:c r="B562" s="19" t="str">
        <x:v>research_evidence_package_health_system_patient_flows_2026-05-30.tar.gz</x:v>
      </x:c>
      <x:c r="C562" s="19" t="str">
        <x:v>Research A / health-system patient flows</x:v>
      </x:c>
      <x:c r="D562" s="19" t="str">
        <x:v>stage_data_matrix</x:v>
      </x:c>
      <x:c r="E562" s="19" t="str"/>
      <x:c r="F562" s="19" t="str"/>
      <x:c r="G562" s="19" t="str"/>
      <x:c r="H562" s="19" t="str"/>
      <x:c r="I562" s="19" t="str"/>
      <x:c r="J562" s="19" t="str"/>
      <x:c r="K562" s="19" t="str"/>
      <x:c r="L562" s="19" t="str"/>
      <x:c r="M562" s="19" t="str"/>
      <x:c r="N562" s="19" t="str"/>
      <x:c r="O562" s="19" t="str"/>
      <x:c r="P562" s="19" t="str"/>
      <x:c r="Q562" s="19" t="str"/>
      <x:c r="R562" s="19" t="str"/>
      <x:c r="S562" s="19" t="str"/>
      <x:c r="T562" s="19" t="str">
        <x:v>04_topic_outputs/maps_or_matrices/stage_data_matrix.csv</x:v>
      </x:c>
      <x:c r="U562" s="19" t="str">
        <x:v>research_evidence_package_health_system_patient_flows_2026-05-30.tar.gz::04_topic_outputs/maps_or_matrices/stage_data_matrix.csv::stage_data_matrix</x:v>
      </x:c>
    </x:row>
    <x:row r="563">
      <x:c r="A563" s="19" t="str">
        <x:v>A_flows</x:v>
      </x:c>
      <x:c r="B563" s="19" t="str">
        <x:v>research_evidence_package_health_system_patient_flows_2026-05-30.tar.gz</x:v>
      </x:c>
      <x:c r="C563" s="19" t="str">
        <x:v>Research A / health-system patient flows</x:v>
      </x:c>
      <x:c r="D563" s="19" t="str">
        <x:v>stage_data_matrix</x:v>
      </x:c>
      <x:c r="E563" s="19" t="str"/>
      <x:c r="F563" s="19" t="str"/>
      <x:c r="G563" s="19" t="str"/>
      <x:c r="H563" s="19" t="str"/>
      <x:c r="I563" s="19" t="str"/>
      <x:c r="J563" s="19" t="str"/>
      <x:c r="K563" s="19" t="str"/>
      <x:c r="L563" s="19" t="str"/>
      <x:c r="M563" s="19" t="str"/>
      <x:c r="N563" s="19" t="str"/>
      <x:c r="O563" s="19" t="str"/>
      <x:c r="P563" s="19" t="str"/>
      <x:c r="Q563" s="19" t="str"/>
      <x:c r="R563" s="19" t="str"/>
      <x:c r="S563" s="19" t="str"/>
      <x:c r="T563" s="19" t="str">
        <x:v>04_topic_outputs/maps_or_matrices/stage_data_matrix.csv</x:v>
      </x:c>
      <x:c r="U563" s="19" t="str">
        <x:v>research_evidence_package_health_system_patient_flows_2026-05-30.tar.gz::04_topic_outputs/maps_or_matrices/stage_data_matrix.csv::stage_data_matrix</x:v>
      </x:c>
    </x:row>
    <x:row r="564">
      <x:c r="A564" s="19" t="str">
        <x:v>A_flows</x:v>
      </x:c>
      <x:c r="B564" s="19" t="str">
        <x:v>research_evidence_package_health_system_patient_flows_2026-05-30.tar.gz</x:v>
      </x:c>
      <x:c r="C564" s="19" t="str">
        <x:v>Research A / health-system patient flows</x:v>
      </x:c>
      <x:c r="D564" s="19" t="str">
        <x:v>stage_data_matrix</x:v>
      </x:c>
      <x:c r="E564" s="19" t="str"/>
      <x:c r="F564" s="19" t="str"/>
      <x:c r="G564" s="19" t="str"/>
      <x:c r="H564" s="19" t="str"/>
      <x:c r="I564" s="19" t="str"/>
      <x:c r="J564" s="19" t="str"/>
      <x:c r="K564" s="19" t="str"/>
      <x:c r="L564" s="19" t="str"/>
      <x:c r="M564" s="19" t="str"/>
      <x:c r="N564" s="19" t="str"/>
      <x:c r="O564" s="19" t="str"/>
      <x:c r="P564" s="19" t="str"/>
      <x:c r="Q564" s="19" t="str"/>
      <x:c r="R564" s="19" t="str"/>
      <x:c r="S564" s="19" t="str"/>
      <x:c r="T564" s="19" t="str">
        <x:v>04_topic_outputs/maps_or_matrices/stage_data_matrix.csv</x:v>
      </x:c>
      <x:c r="U564" s="19" t="str">
        <x:v>research_evidence_package_health_system_patient_flows_2026-05-30.tar.gz::04_topic_outputs/maps_or_matrices/stage_data_matrix.csv::stage_data_matrix</x:v>
      </x:c>
    </x:row>
    <x:row r="565">
      <x:c r="A565" s="19" t="str">
        <x:v>A_flows</x:v>
      </x:c>
      <x:c r="B565" s="19" t="str">
        <x:v>research_evidence_package_health_system_patient_flows_2026-05-30.tar.gz</x:v>
      </x:c>
      <x:c r="C565" s="19" t="str">
        <x:v>Research A / health-system patient flows</x:v>
      </x:c>
      <x:c r="D565" s="19" t="str">
        <x:v>stage_data_matrix</x:v>
      </x:c>
      <x:c r="E565" s="19" t="str"/>
      <x:c r="F565" s="19" t="str"/>
      <x:c r="G565" s="19" t="str"/>
      <x:c r="H565" s="19" t="str"/>
      <x:c r="I565" s="19" t="str"/>
      <x:c r="J565" s="19" t="str"/>
      <x:c r="K565" s="19" t="str"/>
      <x:c r="L565" s="19" t="str"/>
      <x:c r="M565" s="19" t="str"/>
      <x:c r="N565" s="19" t="str"/>
      <x:c r="O565" s="19" t="str"/>
      <x:c r="P565" s="19" t="str"/>
      <x:c r="Q565" s="19" t="str"/>
      <x:c r="R565" s="19" t="str"/>
      <x:c r="S565" s="19" t="str"/>
      <x:c r="T565" s="19" t="str">
        <x:v>04_topic_outputs/maps_or_matrices/stage_data_matrix.csv</x:v>
      </x:c>
      <x:c r="U565" s="19" t="str">
        <x:v>research_evidence_package_health_system_patient_flows_2026-05-30.tar.gz::04_topic_outputs/maps_or_matrices/stage_data_matrix.csv::stage_data_matrix</x:v>
      </x:c>
    </x:row>
    <x:row r="566">
      <x:c r="A566" s="19" t="str">
        <x:v>A_flows</x:v>
      </x:c>
      <x:c r="B566" s="19" t="str">
        <x:v>research_evidence_package_health_system_patient_flows_2026-05-30.tar.gz</x:v>
      </x:c>
      <x:c r="C566" s="19" t="str">
        <x:v>Research A / health-system patient flows</x:v>
      </x:c>
      <x:c r="D566" s="19" t="str">
        <x:v>stage_data_matrix</x:v>
      </x:c>
      <x:c r="E566" s="19" t="str"/>
      <x:c r="F566" s="19" t="str"/>
      <x:c r="G566" s="19" t="str"/>
      <x:c r="H566" s="19" t="str"/>
      <x:c r="I566" s="19" t="str"/>
      <x:c r="J566" s="19" t="str"/>
      <x:c r="K566" s="19" t="str"/>
      <x:c r="L566" s="19" t="str"/>
      <x:c r="M566" s="19" t="str"/>
      <x:c r="N566" s="19" t="str"/>
      <x:c r="O566" s="19" t="str"/>
      <x:c r="P566" s="19" t="str"/>
      <x:c r="Q566" s="19" t="str"/>
      <x:c r="R566" s="19" t="str"/>
      <x:c r="S566" s="19" t="str"/>
      <x:c r="T566" s="19" t="str">
        <x:v>04_topic_outputs/maps_or_matrices/stage_data_matrix.csv</x:v>
      </x:c>
      <x:c r="U566" s="19" t="str">
        <x:v>research_evidence_package_health_system_patient_flows_2026-05-30.tar.gz::04_topic_outputs/maps_or_matrices/stage_data_matrix.csv::stage_data_matrix</x:v>
      </x:c>
    </x:row>
    <x:row r="567">
      <x:c r="A567" s="19" t="str">
        <x:v>A_flows</x:v>
      </x:c>
      <x:c r="B567" s="19" t="str">
        <x:v>research_evidence_package_health_system_patient_flows_2026-05-30.tar.gz</x:v>
      </x:c>
      <x:c r="C567" s="19" t="str">
        <x:v>Research A / health-system patient flows</x:v>
      </x:c>
      <x:c r="D567" s="19" t="str">
        <x:v>stage_data_matrix</x:v>
      </x:c>
      <x:c r="E567" s="19" t="str"/>
      <x:c r="F567" s="19" t="str"/>
      <x:c r="G567" s="19" t="str"/>
      <x:c r="H567" s="19" t="str"/>
      <x:c r="I567" s="19" t="str"/>
      <x:c r="J567" s="19" t="str"/>
      <x:c r="K567" s="19" t="str"/>
      <x:c r="L567" s="19" t="str"/>
      <x:c r="M567" s="19" t="str"/>
      <x:c r="N567" s="19" t="str"/>
      <x:c r="O567" s="19" t="str"/>
      <x:c r="P567" s="19" t="str"/>
      <x:c r="Q567" s="19" t="str"/>
      <x:c r="R567" s="19" t="str"/>
      <x:c r="S567" s="19" t="str"/>
      <x:c r="T567" s="19" t="str">
        <x:v>04_topic_outputs/maps_or_matrices/stage_data_matrix.csv</x:v>
      </x:c>
      <x:c r="U567" s="19" t="str">
        <x:v>research_evidence_package_health_system_patient_flows_2026-05-30.tar.gz::04_topic_outputs/maps_or_matrices/stage_data_matrix.csv::stage_data_matrix</x:v>
      </x:c>
    </x:row>
    <x:row r="568">
      <x:c r="A568" s="19" t="str">
        <x:v>B_missed</x:v>
      </x:c>
      <x:c r="B568" s="19" t="str">
        <x:v>research_evidence_package_missed_signals_diagnostic_errors_2026-05-30.tar.gz</x:v>
      </x:c>
      <x:c r="C568" s="19" t="str">
        <x:v>Research B / missed signals and diagnostic errors</x:v>
      </x:c>
      <x:c r="D568" s="19" t="str">
        <x:v>product_opportunity_from_B</x:v>
      </x:c>
      <x:c r="E568" s="19" t="str">
        <x:v>Longitudinal diagnostic signal accumulator</x:v>
      </x:c>
      <x:c r="F568" s="19" t="str"/>
      <x:c r="G568" s="19" t="str"/>
      <x:c r="H568" s="19" t="str"/>
      <x:c r="I568" s="19" t="str"/>
      <x:c r="J568" s="19" t="str"/>
      <x:c r="K568" s="19" t="str">
        <x:v>medical history; follow-up; repeat visit</x:v>
      </x:c>
      <x:c r="L568" s="19" t="str">
        <x:v>Repeated visits, slow lab drift, weight loss, multi-system symptoms</x:v>
      </x:c>
      <x:c r="M568" s="19" t="str"/>
      <x:c r="N568" s="19" t="str">
        <x:v>Longitudinal diagnostic signal accumulator</x:v>
      </x:c>
      <x:c r="O568" s="19" t="str">
        <x:v>Auto-cluster symptoms/labs/visits/referrals into unresolved diagnostic threads.</x:v>
      </x:c>
      <x:c r="P568" s="19" t="str"/>
      <x:c r="Q568" s="19" t="str"/>
      <x:c r="R568" s="19" t="str">
        <x:v>Auto-cluster symptoms/labs/visits/referrals into unresolved diagnostic threads.</x:v>
      </x:c>
      <x:c r="S568" s="19" t="str"/>
      <x:c r="T568" s="19" t="str">
        <x:v>04_topic_outputs/other_outputs/product_opportunities.csv</x:v>
      </x:c>
      <x:c r="U568" s="19" t="str">
        <x:v>research_evidence_package_missed_signals_diagnostic_errors_2026-05-30.tar.gz::04_topic_outputs/other_outputs/product_opportunities.csv::Longitudinal diagnostic signal accumulator</x:v>
      </x:c>
    </x:row>
    <x:row r="569">
      <x:c r="A569" s="19" t="str">
        <x:v>B_missed</x:v>
      </x:c>
      <x:c r="B569" s="19" t="str">
        <x:v>research_evidence_package_missed_signals_diagnostic_errors_2026-05-30.tar.gz</x:v>
      </x:c>
      <x:c r="C569" s="19" t="str">
        <x:v>Research B / missed signals and diagnostic errors</x:v>
      </x:c>
      <x:c r="D569" s="19" t="str">
        <x:v>product_opportunity_from_B</x:v>
      </x:c>
      <x:c r="E569" s="19" t="str">
        <x:v>Repeat-visit diagnostic reset</x:v>
      </x:c>
      <x:c r="F569" s="19" t="str"/>
      <x:c r="G569" s="19" t="str"/>
      <x:c r="H569" s="19" t="str"/>
      <x:c r="I569" s="19" t="str"/>
      <x:c r="J569" s="19" t="str"/>
      <x:c r="K569" s="19" t="str">
        <x:v>arrival; triage; first assessment</x:v>
      </x:c>
      <x:c r="L569" s="19" t="str">
        <x:v>Return within days/weeks for same/worse complaint</x:v>
      </x:c>
      <x:c r="M569" s="19" t="str"/>
      <x:c r="N569" s="19" t="str">
        <x:v>Repeat-visit diagnostic reset</x:v>
      </x:c>
      <x:c r="O569" s="19" t="str">
        <x:v>Require clinician to review prior diagnosis, what changed, and dangerous alternatives.</x:v>
      </x:c>
      <x:c r="P569" s="19" t="str"/>
      <x:c r="Q569" s="19" t="str"/>
      <x:c r="R569" s="19" t="str">
        <x:v>Require clinician to review prior diagnosis, what changed, and dangerous alternatives.</x:v>
      </x:c>
      <x:c r="S569" s="19" t="str"/>
      <x:c r="T569" s="19" t="str">
        <x:v>04_topic_outputs/other_outputs/product_opportunities.csv</x:v>
      </x:c>
      <x:c r="U569" s="19" t="str">
        <x:v>research_evidence_package_missed_signals_diagnostic_errors_2026-05-30.tar.gz::04_topic_outputs/other_outputs/product_opportunities.csv::Repeat-visit diagnostic reset</x:v>
      </x:c>
    </x:row>
    <x:row r="570">
      <x:c r="A570" s="19" t="str">
        <x:v>B_missed</x:v>
      </x:c>
      <x:c r="B570" s="19" t="str">
        <x:v>research_evidence_package_missed_signals_diagnostic_errors_2026-05-30.tar.gz</x:v>
      </x:c>
      <x:c r="C570" s="19" t="str">
        <x:v>Research B / missed signals and diagnostic errors</x:v>
      </x:c>
      <x:c r="D570" s="19" t="str">
        <x:v>product_opportunity_from_B</x:v>
      </x:c>
      <x:c r="E570" s="19" t="str">
        <x:v>Closed-loop abnormal result ownership</x:v>
      </x:c>
      <x:c r="F570" s="19" t="str"/>
      <x:c r="G570" s="19" t="str"/>
      <x:c r="H570" s="19" t="str"/>
      <x:c r="I570" s="19" t="str"/>
      <x:c r="J570" s="19" t="str"/>
      <x:c r="K570" s="19" t="str">
        <x:v>labs/imaging interpretation; discharge</x:v>
      </x:c>
      <x:c r="L570" s="19" t="str">
        <x:v>Abnormal lab/imaging/microbiology after visit/discharge</x:v>
      </x:c>
      <x:c r="M570" s="19" t="str"/>
      <x:c r="N570" s="19" t="str">
        <x:v>Closed-loop abnormal result ownership</x:v>
      </x:c>
      <x:c r="O570" s="19" t="str">
        <x:v>Assign owner + deadline + patient notification + acknowledgment + action status.</x:v>
      </x:c>
      <x:c r="P570" s="19" t="str"/>
      <x:c r="Q570" s="19" t="str"/>
      <x:c r="R570" s="19" t="str">
        <x:v>Assign owner + deadline + patient notification + acknowledgment + action status.</x:v>
      </x:c>
      <x:c r="S570" s="19" t="str"/>
      <x:c r="T570" s="19" t="str">
        <x:v>04_topic_outputs/other_outputs/product_opportunities.csv</x:v>
      </x:c>
      <x:c r="U570" s="19" t="str">
        <x:v>research_evidence_package_missed_signals_diagnostic_errors_2026-05-30.tar.gz::04_topic_outputs/other_outputs/product_opportunities.csv::Closed-loop abnormal result ownership</x:v>
      </x:c>
    </x:row>
    <x:row r="571">
      <x:c r="A571" s="19" t="str">
        <x:v>B_missed</x:v>
      </x:c>
      <x:c r="B571" s="19" t="str">
        <x:v>research_evidence_package_missed_signals_diagnostic_errors_2026-05-30.tar.gz</x:v>
      </x:c>
      <x:c r="C571" s="19" t="str">
        <x:v>Research B / missed signals and diagnostic errors</x:v>
      </x:c>
      <x:c r="D571" s="19" t="str">
        <x:v>product_opportunity_from_B</x:v>
      </x:c>
      <x:c r="E571" s="19" t="str">
        <x:v>Normal-test trap explainer</x:v>
      </x:c>
      <x:c r="F571" s="19" t="str"/>
      <x:c r="G571" s="19" t="str"/>
      <x:c r="H571" s="19" t="str"/>
      <x:c r="I571" s="19" t="str"/>
      <x:c r="J571" s="19" t="str"/>
      <x:c r="K571" s="19" t="str">
        <x:v>diagnosis discussion; specialist review</x:v>
      </x:c>
      <x:c r="L571" s="19" t="str">
        <x:v>Clinician cites prior/normal test to close diagnosis</x:v>
      </x:c>
      <x:c r="M571" s="19" t="str"/>
      <x:c r="N571" s="19" t="str">
        <x:v>Normal-test trap explainer</x:v>
      </x:c>
      <x:c r="O571" s="19" t="str">
        <x:v>Show test age, scope, symptom status, and what it cannot rule out.</x:v>
      </x:c>
      <x:c r="P571" s="19" t="str"/>
      <x:c r="Q571" s="19" t="str"/>
      <x:c r="R571" s="19" t="str">
        <x:v>Show test age, scope, symptom status, and what it cannot rule out.</x:v>
      </x:c>
      <x:c r="S571" s="19" t="str"/>
      <x:c r="T571" s="19" t="str">
        <x:v>04_topic_outputs/other_outputs/product_opportunities.csv</x:v>
      </x:c>
      <x:c r="U571" s="19" t="str">
        <x:v>research_evidence_package_missed_signals_diagnostic_errors_2026-05-30.tar.gz::04_topic_outputs/other_outputs/product_opportunities.csv::Normal-test trap explainer</x:v>
      </x:c>
    </x:row>
    <x:row r="572">
      <x:c r="A572" s="19" t="str">
        <x:v>B_missed</x:v>
      </x:c>
      <x:c r="B572" s="19" t="str">
        <x:v>research_evidence_package_missed_signals_diagnostic_errors_2026-05-30.tar.gz</x:v>
      </x:c>
      <x:c r="C572" s="19" t="str">
        <x:v>Research B / missed signals and diagnostic errors</x:v>
      </x:c>
      <x:c r="D572" s="19" t="str">
        <x:v>product_opportunity_from_B</x:v>
      </x:c>
      <x:c r="E572" s="19" t="str">
        <x:v>Patient voice + severity capture</x:v>
      </x:c>
      <x:c r="F572" s="19" t="str"/>
      <x:c r="G572" s="19" t="str"/>
      <x:c r="H572" s="19" t="str"/>
      <x:c r="I572" s="19" t="str"/>
      <x:c r="J572" s="19" t="str"/>
      <x:c r="K572" s="19" t="str">
        <x:v>intake form; diagnosis discussion; follow-up</x:v>
      </x:c>
      <x:c r="L572" s="19" t="str">
        <x:v>Patient says not being heard, severe impairment, or fear of missed disease</x:v>
      </x:c>
      <x:c r="M572" s="19" t="str"/>
      <x:c r="N572" s="19" t="str">
        <x:v>Patient voice + severity capture</x:v>
      </x:c>
      <x:c r="O572" s="19" t="str">
        <x:v>Structured fields for patient concern, functional limits, photos, family history, and timeline.</x:v>
      </x:c>
      <x:c r="P572" s="19" t="str"/>
      <x:c r="Q572" s="19" t="str"/>
      <x:c r="R572" s="19" t="str">
        <x:v>Structured fields for patient concern, functional limits, photos, family history, and timeline.</x:v>
      </x:c>
      <x:c r="S572" s="19" t="str"/>
      <x:c r="T572" s="19" t="str">
        <x:v>04_topic_outputs/other_outputs/product_opportunities.csv</x:v>
      </x:c>
      <x:c r="U572" s="19" t="str">
        <x:v>research_evidence_package_missed_signals_diagnostic_errors_2026-05-30.tar.gz::04_topic_outputs/other_outputs/product_opportunities.csv::Patient voice + severity capture</x:v>
      </x:c>
    </x:row>
    <x:row r="573">
      <x:c r="A573" s="19" t="str">
        <x:v>B_missed</x:v>
      </x:c>
      <x:c r="B573" s="19" t="str">
        <x:v>research_evidence_package_missed_signals_diagnostic_errors_2026-05-30.tar.gz</x:v>
      </x:c>
      <x:c r="C573" s="19" t="str">
        <x:v>Research B / missed signals and diagnostic errors</x:v>
      </x:c>
      <x:c r="D573" s="19" t="str">
        <x:v>product_opportunity_from_B</x:v>
      </x:c>
      <x:c r="E573" s="19" t="str">
        <x:v>Bias/misattribution guardrail</x:v>
      </x:c>
      <x:c r="F573" s="19" t="str"/>
      <x:c r="G573" s="19" t="str"/>
      <x:c r="H573" s="19" t="str"/>
      <x:c r="I573" s="19" t="str"/>
      <x:c r="J573" s="19" t="str"/>
      <x:c r="K573" s="19" t="str">
        <x:v>first assessment; referral</x:v>
      </x:c>
      <x:c r="L573" s="19" t="str">
        <x:v>Anxiety/stress/weight/age/gender labels used with persistent physical symptoms</x:v>
      </x:c>
      <x:c r="M573" s="19" t="str"/>
      <x:c r="N573" s="19" t="str">
        <x:v>Bias/misattribution guardrail</x:v>
      </x:c>
      <x:c r="O573" s="19" t="str">
        <x:v>Prompt clinician to document physical red flags ruled out before psychiatric attribution.</x:v>
      </x:c>
      <x:c r="P573" s="19" t="str"/>
      <x:c r="Q573" s="19" t="str"/>
      <x:c r="R573" s="19" t="str">
        <x:v>Prompt clinician to document physical red flags ruled out before psychiatric attribution.</x:v>
      </x:c>
      <x:c r="S573" s="19" t="str"/>
      <x:c r="T573" s="19" t="str">
        <x:v>04_topic_outputs/other_outputs/product_opportunities.csv</x:v>
      </x:c>
      <x:c r="U573" s="19" t="str">
        <x:v>research_evidence_package_missed_signals_diagnostic_errors_2026-05-30.tar.gz::04_topic_outputs/other_outputs/product_opportunities.csv::Bias/misattribution guardrail</x:v>
      </x:c>
    </x:row>
    <x:row r="574">
      <x:c r="A574" s="19" t="str">
        <x:v>B_missed</x:v>
      </x:c>
      <x:c r="B574" s="19" t="str">
        <x:v>research_evidence_package_missed_signals_diagnostic_errors_2026-05-30.tar.gz</x:v>
      </x:c>
      <x:c r="C574" s="19" t="str">
        <x:v>Research B / missed signals and diagnostic errors</x:v>
      </x:c>
      <x:c r="D574" s="19" t="str">
        <x:v>product_opportunity_from_B</x:v>
      </x:c>
      <x:c r="E574" s="19" t="str">
        <x:v>Cross-specialty referral map</x:v>
      </x:c>
      <x:c r="F574" s="19" t="str"/>
      <x:c r="G574" s="19" t="str"/>
      <x:c r="H574" s="19" t="str"/>
      <x:c r="I574" s="19" t="str"/>
      <x:c r="J574" s="19" t="str"/>
      <x:c r="K574" s="19" t="str">
        <x:v>referral; specialist review</x:v>
      </x:c>
      <x:c r="L574" s="19" t="str">
        <x:v>Symptoms span GI/GYN/cardiology/neuro/psych domains</x:v>
      </x:c>
      <x:c r="M574" s="19" t="str"/>
      <x:c r="N574" s="19" t="str">
        <x:v>Cross-specialty referral map</x:v>
      </x:c>
      <x:c r="O574" s="19" t="str">
        <x:v>Suggest adjacent specialties and shared handoff summary for unresolved patterns.</x:v>
      </x:c>
      <x:c r="P574" s="19" t="str"/>
      <x:c r="Q574" s="19" t="str"/>
      <x:c r="R574" s="19" t="str">
        <x:v>Suggest adjacent specialties and shared handoff summary for unresolved patterns.</x:v>
      </x:c>
      <x:c r="S574" s="19" t="str"/>
      <x:c r="T574" s="19" t="str">
        <x:v>04_topic_outputs/other_outputs/product_opportunities.csv</x:v>
      </x:c>
      <x:c r="U574" s="19" t="str">
        <x:v>research_evidence_package_missed_signals_diagnostic_errors_2026-05-30.tar.gz::04_topic_outputs/other_outputs/product_opportunities.csv::Cross-specialty referral map</x:v>
      </x:c>
    </x:row>
    <x:row r="575">
      <x:c r="A575" s="19" t="str">
        <x:v>B_missed</x:v>
      </x:c>
      <x:c r="B575" s="19" t="str">
        <x:v>research_evidence_package_missed_signals_diagnostic_errors_2026-05-30.tar.gz</x:v>
      </x:c>
      <x:c r="C575" s="19" t="str">
        <x:v>Research B / missed signals and diagnostic errors</x:v>
      </x:c>
      <x:c r="D575" s="19" t="str">
        <x:v>product_opportunity_from_B</x:v>
      </x:c>
      <x:c r="E575" s="19" t="str">
        <x:v>Imaging finding lifecycle tracker</x:v>
      </x:c>
      <x:c r="F575" s="19" t="str"/>
      <x:c r="G575" s="19" t="str"/>
      <x:c r="H575" s="19" t="str"/>
      <x:c r="I575" s="19" t="str"/>
      <x:c r="J575" s="19" t="str"/>
      <x:c r="K575" s="19" t="str">
        <x:v>imaging interpretation; discharge; follow-up</x:v>
      </x:c>
      <x:c r="L575" s="19" t="str">
        <x:v>Unexpected significant finding or critical imaging detail</x:v>
      </x:c>
      <x:c r="M575" s="19" t="str"/>
      <x:c r="N575" s="19" t="str">
        <x:v>Imaging finding lifecycle tracker</x:v>
      </x:c>
      <x:c r="O575" s="19" t="str">
        <x:v>Track from report to clinician acknowledgment, patient notification, referral, and closure.</x:v>
      </x:c>
      <x:c r="P575" s="19" t="str"/>
      <x:c r="Q575" s="19" t="str"/>
      <x:c r="R575" s="19" t="str">
        <x:v>Track from report to clinician acknowledgment, patient notification, referral, and closure.</x:v>
      </x:c>
      <x:c r="S575" s="19" t="str"/>
      <x:c r="T575" s="19" t="str">
        <x:v>04_topic_outputs/other_outputs/product_opportunities.csv</x:v>
      </x:c>
      <x:c r="U575" s="19" t="str">
        <x:v>research_evidence_package_missed_signals_diagnostic_errors_2026-05-30.tar.gz::04_topic_outputs/other_outputs/product_opportunities.csv::Imaging finding lifecycle tracker</x:v>
      </x:c>
    </x:row>
    <x:row r="576">
      <x:c r="A576" s="19" t="str">
        <x:v>B_missed</x:v>
      </x:c>
      <x:c r="B576" s="19" t="str">
        <x:v>research_evidence_package_missed_signals_diagnostic_errors_2026-05-30.tar.gz</x:v>
      </x:c>
      <x:c r="C576" s="19" t="str">
        <x:v>Research B / missed signals and diagnostic errors</x:v>
      </x:c>
      <x:c r="D576" s="19" t="str">
        <x:v>product_opportunity_from_B</x:v>
      </x:c>
      <x:c r="E576" s="19" t="str">
        <x:v>Emergency pathway timers</x:v>
      </x:c>
      <x:c r="F576" s="19" t="str"/>
      <x:c r="G576" s="19" t="str"/>
      <x:c r="H576" s="19" t="str"/>
      <x:c r="I576" s="19" t="str"/>
      <x:c r="J576" s="19" t="str"/>
      <x:c r="K576" s="19" t="str">
        <x:v>ED/urgent care</x:v>
      </x:c>
      <x:c r="L576" s="19" t="str">
        <x:v>Chest pain, torsion symptoms, sepsis signs, focal deficits</x:v>
      </x:c>
      <x:c r="M576" s="19" t="str"/>
      <x:c r="N576" s="19" t="str">
        <x:v>Emergency pathway timers</x:v>
      </x:c>
      <x:c r="O576" s="19" t="str">
        <x:v>Condition-specific timers/checklists for serial ECG/troponin, ultrasound, CXR, CTA/perfusion.</x:v>
      </x:c>
      <x:c r="P576" s="19" t="str"/>
      <x:c r="Q576" s="19" t="str"/>
      <x:c r="R576" s="19" t="str">
        <x:v>Condition-specific timers/checklists for serial ECG/troponin, ultrasound, CXR, CTA/perfusion.</x:v>
      </x:c>
      <x:c r="S576" s="19" t="str"/>
      <x:c r="T576" s="19" t="str">
        <x:v>04_topic_outputs/other_outputs/product_opportunities.csv</x:v>
      </x:c>
      <x:c r="U576" s="19" t="str">
        <x:v>research_evidence_package_missed_signals_diagnostic_errors_2026-05-30.tar.gz::04_topic_outputs/other_outputs/product_opportunities.csv::Emergency pathway timers</x:v>
      </x:c>
    </x:row>
    <x:row r="577">
      <x:c r="A577" s="19" t="str">
        <x:v>B_missed</x:v>
      </x:c>
      <x:c r="B577" s="19" t="str">
        <x:v>research_evidence_package_missed_signals_diagnostic_errors_2026-05-30.tar.gz</x:v>
      </x:c>
      <x:c r="C577" s="19" t="str">
        <x:v>Research B / missed signals and diagnostic errors</x:v>
      </x:c>
      <x:c r="D577" s="19" t="str">
        <x:v>product_opportunity_from_B</x:v>
      </x:c>
      <x:c r="E577" s="19" t="str">
        <x:v>Low-resource diagnostic availability layer</x:v>
      </x:c>
      <x:c r="F577" s="19" t="str"/>
      <x:c r="G577" s="19" t="str"/>
      <x:c r="H577" s="19" t="str"/>
      <x:c r="I577" s="19" t="str"/>
      <x:c r="J577" s="19" t="str"/>
      <x:c r="K577" s="19" t="str">
        <x:v>labs ordered; treatment decision</x:v>
      </x:c>
      <x:c r="L577" s="19" t="str">
        <x:v>RDT/microscopy unavailable; stockout; access/payment barrier</x:v>
      </x:c>
      <x:c r="M577" s="19" t="str"/>
      <x:c r="N577" s="19" t="str">
        <x:v>Low-resource diagnostic availability layer</x:v>
      </x:c>
      <x:c r="O577" s="19" t="str">
        <x:v>Capture test unavailability, alternate plan, referral, and supply-chain alert.</x:v>
      </x:c>
      <x:c r="P577" s="19" t="str"/>
      <x:c r="Q577" s="19" t="str"/>
      <x:c r="R577" s="19" t="str">
        <x:v>Capture test unavailability, alternate plan, referral, and supply-chain alert.</x:v>
      </x:c>
      <x:c r="S577" s="19" t="str"/>
      <x:c r="T577" s="19" t="str">
        <x:v>04_topic_outputs/other_outputs/product_opportunities.csv</x:v>
      </x:c>
      <x:c r="U577" s="19" t="str">
        <x:v>research_evidence_package_missed_signals_diagnostic_errors_2026-05-30.tar.gz::04_topic_outputs/other_outputs/product_opportunities.csv::Low-resource diagnostic availability layer</x:v>
      </x:c>
    </x:row>
    <x:row r="578">
      <x:c r="A578" s="19" t="str">
        <x:v>B_missed</x:v>
      </x:c>
      <x:c r="B578" s="19" t="str">
        <x:v>research_evidence_package_missed_signals_diagnostic_errors_2026-05-30.tar.gz</x:v>
      </x:c>
      <x:c r="C578" s="19" t="str">
        <x:v>Research B / missed signals and diagnostic errors</x:v>
      </x:c>
      <x:c r="D578" s="19" t="str">
        <x:v>product_opportunity_from_B</x:v>
      </x:c>
      <x:c r="E578" s="19" t="str">
        <x:v>Medication/access-as-diagnostic-clue</x:v>
      </x:c>
      <x:c r="F578" s="19" t="str"/>
      <x:c r="G578" s="19" t="str"/>
      <x:c r="H578" s="19" t="str"/>
      <x:c r="I578" s="19" t="str"/>
      <x:c r="J578" s="19" t="str"/>
      <x:c r="K578" s="19" t="str">
        <x:v>medical history; first assessment</x:v>
      </x:c>
      <x:c r="L578" s="19" t="str">
        <x:v>Stopped medication due to cost, adherence barriers, device/supply issues</x:v>
      </x:c>
      <x:c r="M578" s="19" t="str"/>
      <x:c r="N578" s="19" t="str">
        <x:v>Medication/access-as-diagnostic-clue</x:v>
      </x:c>
      <x:c r="O578" s="19" t="str">
        <x:v>Surface medication interruption as a risk factor for emergency differentials.</x:v>
      </x:c>
      <x:c r="P578" s="19" t="str"/>
      <x:c r="Q578" s="19" t="str"/>
      <x:c r="R578" s="19" t="str">
        <x:v>Surface medication interruption as a risk factor for emergency differentials.</x:v>
      </x:c>
      <x:c r="S578" s="19" t="str"/>
      <x:c r="T578" s="19" t="str">
        <x:v>04_topic_outputs/other_outputs/product_opportunities.csv</x:v>
      </x:c>
      <x:c r="U578" s="19" t="str">
        <x:v>research_evidence_package_missed_signals_diagnostic_errors_2026-05-30.tar.gz::04_topic_outputs/other_outputs/product_opportunities.csv::Medication/access-as-diagnostic-clue</x:v>
      </x:c>
    </x:row>
    <x:row r="579">
      <x:c r="A579" s="19" t="str">
        <x:v>B_missed</x:v>
      </x:c>
      <x:c r="B579" s="19" t="str">
        <x:v>research_evidence_package_missed_signals_diagnostic_errors_2026-05-30.tar.gz</x:v>
      </x:c>
      <x:c r="C579" s="19" t="str">
        <x:v>Research B / missed signals and diagnostic errors</x:v>
      </x:c>
      <x:c r="D579" s="19" t="str">
        <x:v>product_opportunity_from_B</x:v>
      </x:c>
      <x:c r="E579" s="19" t="str">
        <x:v>Pending-test discharge contract</x:v>
      </x:c>
      <x:c r="F579" s="19" t="str"/>
      <x:c r="G579" s="19" t="str"/>
      <x:c r="H579" s="19" t="str"/>
      <x:c r="I579" s="19" t="str"/>
      <x:c r="J579" s="19" t="str"/>
      <x:c r="K579" s="19" t="str">
        <x:v>discharge; follow-up</x:v>
      </x:c>
      <x:c r="L579" s="19" t="str">
        <x:v>Test ordered but not resulted before discharge</x:v>
      </x:c>
      <x:c r="M579" s="19" t="str"/>
      <x:c r="N579" s="19" t="str">
        <x:v>Pending-test discharge contract</x:v>
      </x:c>
      <x:c r="O579" s="19" t="str">
        <x:v>Patient-facing and clinician-facing list of pending results, expected date, owner, and action plan.</x:v>
      </x:c>
      <x:c r="P579" s="19" t="str"/>
      <x:c r="Q579" s="19" t="str"/>
      <x:c r="R579" s="19" t="str">
        <x:v>Patient-facing and clinician-facing list of pending results, expected date, owner, and action plan.</x:v>
      </x:c>
      <x:c r="S579" s="19" t="str"/>
      <x:c r="T579" s="19" t="str">
        <x:v>04_topic_outputs/other_outputs/product_opportunities.csv</x:v>
      </x:c>
      <x:c r="U579" s="19" t="str">
        <x:v>research_evidence_package_missed_signals_diagnostic_errors_2026-05-30.tar.gz::04_topic_outputs/other_outputs/product_opportunities.csv::Pending-test discharge contract</x:v>
      </x:c>
    </x:row>
    <x:row r="580">
      <x:c r="A580" s="19" t="str">
        <x:v>B_missed</x:v>
      </x:c>
      <x:c r="B580" s="19" t="str">
        <x:v>research_evidence_package_missed_signals_diagnostic_errors_2026-05-30.tar.gz</x:v>
      </x:c>
      <x:c r="C580" s="19" t="str">
        <x:v>Research B / missed signals and diagnostic errors</x:v>
      </x:c>
      <x:c r="D580" s="19" t="str">
        <x:v>black_zones_by_stage_from_B</x:v>
      </x:c>
      <x:c r="E580" s="19" t="str">
        <x:v>before visit</x:v>
      </x:c>
      <x:c r="F580" s="19" t="str"/>
      <x:c r="G580" s="19" t="str"/>
      <x:c r="H580" s="19" t="str"/>
      <x:c r="I580" s="19" t="str"/>
      <x:c r="J580" s="19" t="str"/>
      <x:c r="K580" s="19" t="str">
        <x:v>before visit</x:v>
      </x:c>
      <x:c r="L580" s="19" t="str"/>
      <x:c r="M580" s="19" t="str"/>
      <x:c r="N580" s="19" t="str">
        <x:v>Access/insurance/payment and community-care pathways affect whether testing begins.</x:v>
      </x:c>
      <x:c r="O580" s="19" t="str">
        <x:v>High-risk history and persistent symptoms never enter a stable diagnostic pathway.</x:v>
      </x:c>
      <x:c r="P580" s="19" t="str">
        <x:v>High-risk history and persistent symptoms never enter a stable diagnostic pathway.</x:v>
      </x:c>
      <x:c r="Q580" s="19" t="str"/>
      <x:c r="R580" s="19" t="str">
        <x:v>Community intake + access-risk flags + incomplete-workup registry.</x:v>
      </x:c>
      <x:c r="S580" s="19" t="str"/>
      <x:c r="T580" s="19" t="str">
        <x:v>04_topic_outputs/maps_or_matrices/black_zones_by_patient_stage.csv</x:v>
      </x:c>
      <x:c r="U580" s="19" t="str">
        <x:v>research_evidence_package_missed_signals_diagnostic_errors_2026-05-30.tar.gz::04_topic_outputs/maps_or_matrices/black_zones_by_patient_stage.csv::before visit</x:v>
      </x:c>
    </x:row>
    <x:row r="581">
      <x:c r="A581" s="19" t="str">
        <x:v>B_missed</x:v>
      </x:c>
      <x:c r="B581" s="19" t="str">
        <x:v>research_evidence_package_missed_signals_diagnostic_errors_2026-05-30.tar.gz</x:v>
      </x:c>
      <x:c r="C581" s="19" t="str">
        <x:v>Research B / missed signals and diagnostic errors</x:v>
      </x:c>
      <x:c r="D581" s="19" t="str">
        <x:v>black_zones_by_stage_from_B</x:v>
      </x:c>
      <x:c r="E581" s="19" t="str">
        <x:v>arrival / registration</x:v>
      </x:c>
      <x:c r="F581" s="19" t="str"/>
      <x:c r="G581" s="19" t="str"/>
      <x:c r="H581" s="19" t="str"/>
      <x:c r="I581" s="19" t="str"/>
      <x:c r="J581" s="19" t="str"/>
      <x:c r="K581" s="19" t="str">
        <x:v>arrival / registration</x:v>
      </x:c>
      <x:c r="L581" s="19" t="str"/>
      <x:c r="M581" s="19" t="str"/>
      <x:c r="N581" s="19" t="str">
        <x:v>Key context such as family history, recent discharge, or repeat visit may not be visible.</x:v>
      </x:c>
      <x:c r="O581" s="19" t="str">
        <x:v>A return visit can look like a new isolated encounter.</x:v>
      </x:c>
      <x:c r="P581" s="19" t="str">
        <x:v>A return visit can look like a new isolated encounter.</x:v>
      </x:c>
      <x:c r="Q581" s="19" t="str"/>
      <x:c r="R581" s="19" t="str">
        <x:v>Front-door repeat-visit banner and family-history prompt.</x:v>
      </x:c>
      <x:c r="S581" s="19" t="str"/>
      <x:c r="T581" s="19" t="str">
        <x:v>04_topic_outputs/maps_or_matrices/black_zones_by_patient_stage.csv</x:v>
      </x:c>
      <x:c r="U581" s="19" t="str">
        <x:v>research_evidence_package_missed_signals_diagnostic_errors_2026-05-30.tar.gz::04_topic_outputs/maps_or_matrices/black_zones_by_patient_stage.csv::arrival / registration</x:v>
      </x:c>
    </x:row>
    <x:row r="582">
      <x:c r="A582" s="19" t="str">
        <x:v>B_missed</x:v>
      </x:c>
      <x:c r="B582" s="19" t="str">
        <x:v>research_evidence_package_missed_signals_diagnostic_errors_2026-05-30.tar.gz</x:v>
      </x:c>
      <x:c r="C582" s="19" t="str">
        <x:v>Research B / missed signals and diagnostic errors</x:v>
      </x:c>
      <x:c r="D582" s="19" t="str">
        <x:v>black_zones_by_stage_from_B</x:v>
      </x:c>
      <x:c r="E582" s="19" t="str">
        <x:v>nurse triage / vitals</x:v>
      </x:c>
      <x:c r="F582" s="19" t="str"/>
      <x:c r="G582" s="19" t="str"/>
      <x:c r="H582" s="19" t="str"/>
      <x:c r="I582" s="19" t="str"/>
      <x:c r="J582" s="19" t="str"/>
      <x:c r="K582" s="19" t="str">
        <x:v>nurse triage / vitals</x:v>
      </x:c>
      <x:c r="L582" s="19" t="str"/>
      <x:c r="M582" s="19" t="str"/>
      <x:c r="N582" s="19" t="str">
        <x:v>Abnormal vitals exist but are not integrated into diagnosis.</x:v>
      </x:c>
      <x:c r="O582" s="19" t="str">
        <x:v>Tachycardia, tachypnea, oxygen saturation, neuro deficits lose salience.</x:v>
      </x:c>
      <x:c r="P582" s="19" t="str">
        <x:v>Tachycardia, tachypnea, oxygen saturation, neuro deficits lose salience.</x:v>
      </x:c>
      <x:c r="Q582" s="19" t="str"/>
      <x:c r="R582" s="19" t="str">
        <x:v>Triage risk model with forced reassessment when vitals worsen or repeat visits occur.</x:v>
      </x:c>
      <x:c r="S582" s="19" t="str"/>
      <x:c r="T582" s="19" t="str">
        <x:v>04_topic_outputs/maps_or_matrices/black_zones_by_patient_stage.csv</x:v>
      </x:c>
      <x:c r="U582" s="19" t="str">
        <x:v>research_evidence_package_missed_signals_diagnostic_errors_2026-05-30.tar.gz::04_topic_outputs/maps_or_matrices/black_zones_by_patient_stage.csv::nurse triage / vitals</x:v>
      </x:c>
    </x:row>
    <x:row r="583">
      <x:c r="A583" s="19" t="str">
        <x:v>B_missed</x:v>
      </x:c>
      <x:c r="B583" s="19" t="str">
        <x:v>research_evidence_package_missed_signals_diagnostic_errors_2026-05-30.tar.gz</x:v>
      </x:c>
      <x:c r="C583" s="19" t="str">
        <x:v>Research B / missed signals and diagnostic errors</x:v>
      </x:c>
      <x:c r="D583" s="19" t="str">
        <x:v>black_zones_by_stage_from_B</x:v>
      </x:c>
      <x:c r="E583" s="19" t="str">
        <x:v>first clinician assessment</x:v>
      </x:c>
      <x:c r="F583" s="19" t="str"/>
      <x:c r="G583" s="19" t="str"/>
      <x:c r="H583" s="19" t="str"/>
      <x:c r="I583" s="19" t="str"/>
      <x:c r="J583" s="19" t="str"/>
      <x:c r="K583" s="19" t="str">
        <x:v>first clinician assessment</x:v>
      </x:c>
      <x:c r="L583" s="19" t="str"/>
      <x:c r="M583" s="19" t="str"/>
      <x:c r="N583" s="19" t="str">
        <x:v>First plausible diagnosis closes the case.</x:v>
      </x:c>
      <x:c r="O583" s="19" t="str">
        <x:v>Anxiety/asthma/gastroenteritis/seizure/COVID labels hide alternatives.</x:v>
      </x:c>
      <x:c r="P583" s="19" t="str">
        <x:v>Anxiety/asthma/gastroenteritis/seizure/COVID labels hide alternatives.</x:v>
      </x:c>
      <x:c r="Q583" s="19" t="str"/>
      <x:c r="R583" s="19" t="str">
        <x:v>Diagnostic time-out: 'what would be dangerous to miss?' with condition-specific prompts.</x:v>
      </x:c>
      <x:c r="S583" s="19" t="str"/>
      <x:c r="T583" s="19" t="str">
        <x:v>04_topic_outputs/maps_or_matrices/black_zones_by_patient_stage.csv</x:v>
      </x:c>
      <x:c r="U583" s="19" t="str">
        <x:v>research_evidence_package_missed_signals_diagnostic_errors_2026-05-30.tar.gz::04_topic_outputs/maps_or_matrices/black_zones_by_patient_stage.csv::first clinician assessment</x:v>
      </x:c>
    </x:row>
    <x:row r="584">
      <x:c r="A584" s="19" t="str">
        <x:v>B_missed</x:v>
      </x:c>
      <x:c r="B584" s="19" t="str">
        <x:v>research_evidence_package_missed_signals_diagnostic_errors_2026-05-30.tar.gz</x:v>
      </x:c>
      <x:c r="C584" s="19" t="str">
        <x:v>Research B / missed signals and diagnostic errors</x:v>
      </x:c>
      <x:c r="D584" s="19" t="str">
        <x:v>black_zones_by_stage_from_B</x:v>
      </x:c>
      <x:c r="E584" s="19" t="str">
        <x:v>medical history</x:v>
      </x:c>
      <x:c r="F584" s="19" t="str"/>
      <x:c r="G584" s="19" t="str"/>
      <x:c r="H584" s="19" t="str"/>
      <x:c r="I584" s="19" t="str"/>
      <x:c r="J584" s="19" t="str"/>
      <x:c r="K584" s="19" t="str">
        <x:v>medical history</x:v>
      </x:c>
      <x:c r="L584" s="19" t="str"/>
      <x:c r="M584" s="19" t="str"/>
      <x:c r="N584" s="19" t="str">
        <x:v>Family history, medication access, and symptom timeline are not integrated.</x:v>
      </x:c>
      <x:c r="O584" s="19" t="str">
        <x:v>Cost-related medication interruption or autoimmune/cancer family history is treated as background.</x:v>
      </x:c>
      <x:c r="P584" s="19" t="str">
        <x:v>Cost-related medication interruption or autoimmune/cancer family history is treated as background.</x:v>
      </x:c>
      <x:c r="Q584" s="19" t="str"/>
      <x:c r="R584" s="19" t="str">
        <x:v>Structured risk-context capture linked to decision support.</x:v>
      </x:c>
      <x:c r="S584" s="19" t="str"/>
      <x:c r="T584" s="19" t="str">
        <x:v>04_topic_outputs/maps_or_matrices/black_zones_by_patient_stage.csv</x:v>
      </x:c>
      <x:c r="U584" s="19" t="str">
        <x:v>research_evidence_package_missed_signals_diagnostic_errors_2026-05-30.tar.gz::04_topic_outputs/maps_or_matrices/black_zones_by_patient_stage.csv::medical history</x:v>
      </x:c>
    </x:row>
    <x:row r="585">
      <x:c r="A585" s="19" t="str">
        <x:v>B_missed</x:v>
      </x:c>
      <x:c r="B585" s="19" t="str">
        <x:v>research_evidence_package_missed_signals_diagnostic_errors_2026-05-30.tar.gz</x:v>
      </x:c>
      <x:c r="C585" s="19" t="str">
        <x:v>Research B / missed signals and diagnostic errors</x:v>
      </x:c>
      <x:c r="D585" s="19" t="str">
        <x:v>black_zones_by_stage_from_B</x:v>
      </x:c>
      <x:c r="E585" s="19" t="str">
        <x:v>physical exam</x:v>
      </x:c>
      <x:c r="F585" s="19" t="str"/>
      <x:c r="G585" s="19" t="str"/>
      <x:c r="H585" s="19" t="str"/>
      <x:c r="I585" s="19" t="str"/>
      <x:c r="J585" s="19" t="str"/>
      <x:c r="K585" s="19" t="str">
        <x:v>physical exam</x:v>
      </x:c>
      <x:c r="L585" s="19" t="str"/>
      <x:c r="M585" s="19" t="str"/>
      <x:c r="N585" s="19" t="str">
        <x:v>Time-sensitive exams can be absent or delayed.</x:v>
      </x:c>
      <x:c r="O585" s="19" t="str">
        <x:v>Abdominal/testicular signs and evolving pain are not escalated fast enough.</x:v>
      </x:c>
      <x:c r="P585" s="19" t="str">
        <x:v>Abdominal/testicular signs and evolving pain are not escalated fast enough.</x:v>
      </x:c>
      <x:c r="Q585" s="19" t="str"/>
      <x:c r="R585" s="19" t="str">
        <x:v>Complaint-linked exam checklist and timer for torsion/appendicitis pathways.</x:v>
      </x:c>
      <x:c r="S585" s="19" t="str"/>
      <x:c r="T585" s="19" t="str">
        <x:v>04_topic_outputs/maps_or_matrices/black_zones_by_patient_stage.csv</x:v>
      </x:c>
      <x:c r="U585" s="19" t="str">
        <x:v>research_evidence_package_missed_signals_diagnostic_errors_2026-05-30.tar.gz::04_topic_outputs/maps_or_matrices/black_zones_by_patient_stage.csv::physical exam</x:v>
      </x:c>
    </x:row>
    <x:row r="586">
      <x:c r="A586" s="19" t="str">
        <x:v>B_missed</x:v>
      </x:c>
      <x:c r="B586" s="19" t="str">
        <x:v>research_evidence_package_missed_signals_diagnostic_errors_2026-05-30.tar.gz</x:v>
      </x:c>
      <x:c r="C586" s="19" t="str">
        <x:v>Research B / missed signals and diagnostic errors</x:v>
      </x:c>
      <x:c r="D586" s="19" t="str">
        <x:v>black_zones_by_stage_from_B</x:v>
      </x:c>
      <x:c r="E586" s="19" t="str">
        <x:v>labs ordered</x:v>
      </x:c>
      <x:c r="F586" s="19" t="str"/>
      <x:c r="G586" s="19" t="str"/>
      <x:c r="H586" s="19" t="str"/>
      <x:c r="I586" s="19" t="str"/>
      <x:c r="J586" s="19" t="str"/>
      <x:c r="K586" s="19" t="str">
        <x:v>labs ordered</x:v>
      </x:c>
      <x:c r="L586" s="19" t="str"/>
      <x:c r="M586" s="19" t="str"/>
      <x:c r="N586" s="19" t="str">
        <x:v>Right lab is not ordered, or ordered but not matched to presentation.</x:v>
      </x:c>
      <x:c r="O586" s="19" t="str">
        <x:v>CRP, thyroid tests, antibody results, RDT/microscopy availability.</x:v>
      </x:c>
      <x:c r="P586" s="19" t="str">
        <x:v>CRP, thyroid tests, antibody results, RDT/microscopy availability.</x:v>
      </x:c>
      <x:c r="Q586" s="19" t="str"/>
      <x:c r="R586" s="19" t="str">
        <x:v>Order-set suggestions and stockout-aware alternatives.</x:v>
      </x:c>
      <x:c r="S586" s="19" t="str"/>
      <x:c r="T586" s="19" t="str">
        <x:v>04_topic_outputs/maps_or_matrices/black_zones_by_patient_stage.csv</x:v>
      </x:c>
      <x:c r="U586" s="19" t="str">
        <x:v>research_evidence_package_missed_signals_diagnostic_errors_2026-05-30.tar.gz::04_topic_outputs/maps_or_matrices/black_zones_by_patient_stage.csv::labs ordered</x:v>
      </x:c>
    </x:row>
    <x:row r="587">
      <x:c r="A587" s="19" t="str">
        <x:v>B_missed</x:v>
      </x:c>
      <x:c r="B587" s="19" t="str">
        <x:v>research_evidence_package_missed_signals_diagnostic_errors_2026-05-30.tar.gz</x:v>
      </x:c>
      <x:c r="C587" s="19" t="str">
        <x:v>Research B / missed signals and diagnostic errors</x:v>
      </x:c>
      <x:c r="D587" s="19" t="str">
        <x:v>black_zones_by_stage_from_B</x:v>
      </x:c>
      <x:c r="E587" s="19" t="str">
        <x:v>imaging ordered</x:v>
      </x:c>
      <x:c r="F587" s="19" t="str"/>
      <x:c r="G587" s="19" t="str"/>
      <x:c r="H587" s="19" t="str"/>
      <x:c r="I587" s="19" t="str"/>
      <x:c r="J587" s="19" t="str"/>
      <x:c r="K587" s="19" t="str">
        <x:v>imaging ordered</x:v>
      </x:c>
      <x:c r="L587" s="19" t="str"/>
      <x:c r="M587" s="19" t="str"/>
      <x:c r="N587" s="19" t="str">
        <x:v>Wrong imaging, no imaging, or limited anatomic scope.</x:v>
      </x:c>
      <x:c r="O587" s="19" t="str">
        <x:v>Thoracic abscess missed by lumbar MRI; no CXR; no CTA/perfusion; delayed ultrasound.</x:v>
      </x:c>
      <x:c r="P587" s="19" t="str">
        <x:v>Thoracic abscess missed by lumbar MRI; no CXR; no CTA/perfusion; delayed ultrasound.</x:v>
      </x:c>
      <x:c r="Q587" s="19" t="str"/>
      <x:c r="R587" s="19" t="str">
        <x:v>Imaging scope/rule-out warning and emergency pathway trigger.</x:v>
      </x:c>
      <x:c r="S587" s="19" t="str"/>
      <x:c r="T587" s="19" t="str">
        <x:v>04_topic_outputs/maps_or_matrices/black_zones_by_patient_stage.csv</x:v>
      </x:c>
      <x:c r="U587" s="19" t="str">
        <x:v>research_evidence_package_missed_signals_diagnostic_errors_2026-05-30.tar.gz::04_topic_outputs/maps_or_matrices/black_zones_by_patient_stage.csv::imaging ordered</x:v>
      </x:c>
    </x:row>
    <x:row r="588">
      <x:c r="A588" s="19" t="str">
        <x:v>B_missed</x:v>
      </x:c>
      <x:c r="B588" s="19" t="str">
        <x:v>research_evidence_package_missed_signals_diagnostic_errors_2026-05-30.tar.gz</x:v>
      </x:c>
      <x:c r="C588" s="19" t="str">
        <x:v>Research B / missed signals and diagnostic errors</x:v>
      </x:c>
      <x:c r="D588" s="19" t="str">
        <x:v>black_zones_by_stage_from_B</x:v>
      </x:c>
      <x:c r="E588" s="19" t="str">
        <x:v>lab/imaging interpretation</x:v>
      </x:c>
      <x:c r="F588" s="19" t="str"/>
      <x:c r="G588" s="19" t="str"/>
      <x:c r="H588" s="19" t="str"/>
      <x:c r="I588" s="19" t="str"/>
      <x:c r="J588" s="19" t="str"/>
      <x:c r="K588" s="19" t="str">
        <x:v>lab/imaging interpretation</x:v>
      </x:c>
      <x:c r="L588" s="19" t="str"/>
      <x:c r="M588" s="19" t="str"/>
      <x:c r="N588" s="19" t="str">
        <x:v>Abnormal result exists but severity/action is not communicated.</x:v>
      </x:c>
      <x:c r="O588" s="19" t="str">
        <x:v>Right-heart strain, Listeria, AChR antibody, echo vegetation, unexpected radiology finding.</x:v>
      </x:c>
      <x:c r="P588" s="19" t="str">
        <x:v>Right-heart strain, Listeria, AChR antibody, echo vegetation, unexpected radiology finding.</x:v>
      </x:c>
      <x:c r="Q588" s="19" t="str"/>
      <x:c r="R588" s="19" t="str">
        <x:v>Critical semantics + acknowledgment + action tracking.</x:v>
      </x:c>
      <x:c r="S588" s="19" t="str"/>
      <x:c r="T588" s="19" t="str">
        <x:v>04_topic_outputs/maps_or_matrices/black_zones_by_patient_stage.csv</x:v>
      </x:c>
      <x:c r="U588" s="19" t="str">
        <x:v>research_evidence_package_missed_signals_diagnostic_errors_2026-05-30.tar.gz::04_topic_outputs/maps_or_matrices/black_zones_by_patient_stage.csv::lab/imaging interpretation</x:v>
      </x:c>
    </x:row>
    <x:row r="589">
      <x:c r="A589" s="19" t="str">
        <x:v>B_missed</x:v>
      </x:c>
      <x:c r="B589" s="19" t="str">
        <x:v>research_evidence_package_missed_signals_diagnostic_errors_2026-05-30.tar.gz</x:v>
      </x:c>
      <x:c r="C589" s="19" t="str">
        <x:v>Research B / missed signals and diagnostic errors</x:v>
      </x:c>
      <x:c r="D589" s="19" t="str">
        <x:v>black_zones_by_stage_from_B</x:v>
      </x:c>
      <x:c r="E589" s="19" t="str">
        <x:v>diagnosis discussion / discharge</x:v>
      </x:c>
      <x:c r="F589" s="19" t="str"/>
      <x:c r="G589" s="19" t="str"/>
      <x:c r="H589" s="19" t="str"/>
      <x:c r="I589" s="19" t="str"/>
      <x:c r="J589" s="19" t="str"/>
      <x:c r="K589" s="19" t="str">
        <x:v>diagnosis discussion / discharge</x:v>
      </x:c>
      <x:c r="L589" s="19" t="str"/>
      <x:c r="M589" s="19" t="str"/>
      <x:c r="N589" s="19" t="str">
        <x:v>Pending results and uncertainty disappear from the patient plan.</x:v>
      </x:c>
      <x:c r="O589" s="19" t="str">
        <x:v>Patient leaves before critical information returns or before serial tests are done.</x:v>
      </x:c>
      <x:c r="P589" s="19" t="str">
        <x:v>Patient leaves before critical information returns or before serial tests are done.</x:v>
      </x:c>
      <x:c r="Q589" s="19" t="str"/>
      <x:c r="R589" s="19" t="str">
        <x:v>Discharge plan must list pending tests, owner, date, escalation route, and patient-facing meaning.</x:v>
      </x:c>
      <x:c r="S589" s="19" t="str"/>
      <x:c r="T589" s="19" t="str">
        <x:v>04_topic_outputs/maps_or_matrices/black_zones_by_patient_stage.csv</x:v>
      </x:c>
      <x:c r="U589" s="19" t="str">
        <x:v>research_evidence_package_missed_signals_diagnostic_errors_2026-05-30.tar.gz::04_topic_outputs/maps_or_matrices/black_zones_by_patient_stage.csv::diagnosis discussion / discharge</x:v>
      </x:c>
    </x:row>
    <x:row r="590">
      <x:c r="A590" s="19" t="str">
        <x:v>B_missed</x:v>
      </x:c>
      <x:c r="B590" s="19" t="str">
        <x:v>research_evidence_package_missed_signals_diagnostic_errors_2026-05-30.tar.gz</x:v>
      </x:c>
      <x:c r="C590" s="19" t="str">
        <x:v>Research B / missed signals and diagnostic errors</x:v>
      </x:c>
      <x:c r="D590" s="19" t="str">
        <x:v>black_zones_by_stage_from_B</x:v>
      </x:c>
      <x:c r="E590" s="19" t="str">
        <x:v>referral</x:v>
      </x:c>
      <x:c r="F590" s="19" t="str"/>
      <x:c r="G590" s="19" t="str"/>
      <x:c r="H590" s="19" t="str"/>
      <x:c r="I590" s="19" t="str"/>
      <x:c r="J590" s="19" t="str"/>
      <x:c r="K590" s="19" t="str">
        <x:v>referral</x:v>
      </x:c>
      <x:c r="L590" s="19" t="str"/>
      <x:c r="M590" s="19" t="str"/>
      <x:c r="N590" s="19" t="str">
        <x:v>Referral is needed but not made, delayed, wrong, or abandoned after poor interaction.</x:v>
      </x:c>
      <x:c r="O590" s="19" t="str">
        <x:v>Specialty handoff does not happen or patient drops out after negative encounter.</x:v>
      </x:c>
      <x:c r="P590" s="19" t="str">
        <x:v>Specialty handoff does not happen or patient drops out after negative encounter.</x:v>
      </x:c>
      <x:c r="Q590" s="19" t="str"/>
      <x:c r="R590" s="19" t="str">
        <x:v>Referral closure tracking plus patient experience/escalation feedback loop.</x:v>
      </x:c>
      <x:c r="S590" s="19" t="str"/>
      <x:c r="T590" s="19" t="str">
        <x:v>04_topic_outputs/maps_or_matrices/black_zones_by_patient_stage.csv</x:v>
      </x:c>
      <x:c r="U590" s="19" t="str">
        <x:v>research_evidence_package_missed_signals_diagnostic_errors_2026-05-30.tar.gz::04_topic_outputs/maps_or_matrices/black_zones_by_patient_stage.csv::referral</x:v>
      </x:c>
    </x:row>
    <x:row r="591">
      <x:c r="A591" s="19" t="str">
        <x:v>B_missed</x:v>
      </x:c>
      <x:c r="B591" s="19" t="str">
        <x:v>research_evidence_package_missed_signals_diagnostic_errors_2026-05-30.tar.gz</x:v>
      </x:c>
      <x:c r="C591" s="19" t="str">
        <x:v>Research B / missed signals and diagnostic errors</x:v>
      </x:c>
      <x:c r="D591" s="19" t="str">
        <x:v>black_zones_by_stage_from_B</x:v>
      </x:c>
      <x:c r="E591" s="19" t="str">
        <x:v>follow-up / repeat visit</x:v>
      </x:c>
      <x:c r="F591" s="19" t="str"/>
      <x:c r="G591" s="19" t="str"/>
      <x:c r="H591" s="19" t="str"/>
      <x:c r="I591" s="19" t="str"/>
      <x:c r="J591" s="19" t="str"/>
      <x:c r="K591" s="19" t="str">
        <x:v>follow-up / repeat visit</x:v>
      </x:c>
      <x:c r="L591" s="19" t="str"/>
      <x:c r="M591" s="19" t="str"/>
      <x:c r="N591" s="19" t="str">
        <x:v>Return visits do not cause diagnostic reset.</x:v>
      </x:c>
      <x:c r="O591" s="19" t="str">
        <x:v>The system repeats the same explanation despite worsening signals.</x:v>
      </x:c>
      <x:c r="P591" s="19" t="str">
        <x:v>The system repeats the same explanation despite worsening signals.</x:v>
      </x:c>
      <x:c r="Q591" s="19" t="str"/>
      <x:c r="R591" s="19" t="str">
        <x:v>Repeat-visit diagnostic reset requiring a new differential and review of prior notes/results.</x:v>
      </x:c>
      <x:c r="S591" s="19" t="str"/>
      <x:c r="T591" s="19" t="str">
        <x:v>04_topic_outputs/maps_or_matrices/black_zones_by_patient_stage.csv</x:v>
      </x:c>
      <x:c r="U591" s="19" t="str">
        <x:v>research_evidence_package_missed_signals_diagnostic_errors_2026-05-30.tar.gz::04_topic_outputs/maps_or_matrices/black_zones_by_patient_stage.csv::follow-up / repeat visit</x:v>
      </x:c>
    </x:row>
    <x:row r="592">
      <x:c r="A592" s="19" t="str">
        <x:v>B_missed</x:v>
      </x:c>
      <x:c r="B592" s="19" t="str">
        <x:v>research_evidence_package_missed_signals_diagnostic_errors_2026-05-30.tar.gz</x:v>
      </x:c>
      <x:c r="C592" s="19" t="str">
        <x:v>Research B / missed signals and diagnostic errors</x:v>
      </x:c>
      <x:c r="D592" s="19" t="str">
        <x:v>black_zones_by_stage_from_B</x:v>
      </x:c>
      <x:c r="E592" s="19" t="str">
        <x:v>specialist review</x:v>
      </x:c>
      <x:c r="F592" s="19" t="str"/>
      <x:c r="G592" s="19" t="str"/>
      <x:c r="H592" s="19" t="str"/>
      <x:c r="I592" s="19" t="str"/>
      <x:c r="J592" s="19" t="str"/>
      <x:c r="K592" s="19" t="str">
        <x:v>specialist review</x:v>
      </x:c>
      <x:c r="L592" s="19" t="str"/>
      <x:c r="M592" s="19" t="str"/>
      <x:c r="N592" s="19" t="str">
        <x:v>Specialist sees one slice, remote note, or wrong chart.</x:v>
      </x:c>
      <x:c r="O592" s="19" t="str">
        <x:v>Wrong patient chart, remote stroke decision, specialty assumptions.</x:v>
      </x:c>
      <x:c r="P592" s="19" t="str">
        <x:v>Wrong patient chart, remote stroke decision, specialty assumptions.</x:v>
      </x:c>
      <x:c r="Q592" s="19" t="str"/>
      <x:c r="R592" s="19" t="str">
        <x:v>Identity verification, red-flag checklist, and cross-specialty summary pane.</x:v>
      </x:c>
      <x:c r="S592" s="19" t="str"/>
      <x:c r="T592" s="19" t="str">
        <x:v>04_topic_outputs/maps_or_matrices/black_zones_by_patient_stage.csv</x:v>
      </x:c>
      <x:c r="U592" s="19" t="str">
        <x:v>research_evidence_package_missed_signals_diagnostic_errors_2026-05-30.tar.gz::04_topic_outputs/maps_or_matrices/black_zones_by_patient_stage.csv::specialist review</x:v>
      </x:c>
    </x:row>
    <x:row r="593">
      <x:c r="A593" s="19" t="str">
        <x:v>B_missed</x:v>
      </x:c>
      <x:c r="B593" s="19" t="str">
        <x:v>research_evidence_package_missed_signals_diagnostic_errors_2026-05-30.tar.gz</x:v>
      </x:c>
      <x:c r="C593" s="19" t="str">
        <x:v>Research B / missed signals and diagnostic errors</x:v>
      </x:c>
      <x:c r="D593" s="19" t="str">
        <x:v>black_zones_by_stage_from_B</x:v>
      </x:c>
      <x:c r="E593" s="19" t="str">
        <x:v>long-term monitoring</x:v>
      </x:c>
      <x:c r="F593" s="19" t="str"/>
      <x:c r="G593" s="19" t="str"/>
      <x:c r="H593" s="19" t="str"/>
      <x:c r="I593" s="19" t="str"/>
      <x:c r="J593" s="19" t="str"/>
      <x:c r="K593" s="19" t="str">
        <x:v>long-term monitoring</x:v>
      </x:c>
      <x:c r="L593" s="19" t="str"/>
      <x:c r="M593" s="19" t="str"/>
      <x:c r="N593" s="19" t="str">
        <x:v>Slow trends and chronic invalidation hide deterioration.</x:v>
      </x:c>
      <x:c r="O593" s="19" t="str">
        <x:v>Anemia trend, repeated admissions, persistent symptoms, nutrition decline.</x:v>
      </x:c>
      <x:c r="P593" s="19" t="str">
        <x:v>Anemia trend, repeated admissions, persistent symptoms, nutrition decline.</x:v>
      </x:c>
      <x:c r="Q593" s="19" t="str"/>
      <x:c r="R593" s="19" t="str">
        <x:v>Trend explorer with unresolved-problem list and functional status/quality-of-life metrics.</x:v>
      </x:c>
      <x:c r="S593" s="19" t="str"/>
      <x:c r="T593" s="19" t="str">
        <x:v>04_topic_outputs/maps_or_matrices/black_zones_by_patient_stage.csv</x:v>
      </x:c>
      <x:c r="U593" s="19" t="str">
        <x:v>research_evidence_package_missed_signals_diagnostic_errors_2026-05-30.tar.gz::04_topic_outputs/maps_or_matrices/black_zones_by_patient_stage.csv::long-term monitoring</x:v>
      </x:c>
    </x:row>
    <x:row r="594">
      <x:c r="A594" s="19" t="str">
        <x:v>D_clinician</x:v>
      </x:c>
      <x:c r="B594" s="19" t="str">
        <x:v>research_evidence_package_clinician_side_diagnostic_pain_points_2026-05-30.tar.gz</x:v>
      </x:c>
      <x:c r="C594" s="19" t="str">
        <x:v>Research D / clinician-side diagnostic pain points</x:v>
      </x:c>
      <x:c r="D594" s="19" t="str">
        <x:v>workflow_obstacle_table</x:v>
      </x:c>
      <x:c r="E594" s="19" t="str">
        <x:v>E001</x:v>
      </x:c>
      <x:c r="F594" s="19" t="str">
        <x:v>S005</x:v>
      </x:c>
      <x:c r="G594" s="19" t="str"/>
      <x:c r="H594" s="19" t="str">
        <x:v>https://jamanetwork.com/journals/jamainternalmedicine/fullarticle/1657753</x:v>
      </x:c>
      <x:c r="I594" s="19" t="str">
        <x:v>United States</x:v>
      </x:c>
      <x:c r="J594" s="19" t="str">
        <x:v>VA primary care</x:v>
      </x:c>
      <x:c r="K594" s="19" t="str">
        <x:v>lab interpretation / imaging interpretation / follow-up</x:v>
      </x:c>
      <x:c r="L594" s="19" t="str">
        <x:v>abnormal laboratory or imaging results</x:v>
      </x:c>
      <x:c r="M594" s="19" t="str">
        <x:v>alert fatigue</x:v>
      </x:c>
      <x:c r="N594" s="19" t="str">
        <x:v>High EHR alert load was linked with clinicians reporting missed abnormal results.</x:v>
      </x:c>
      <x:c r="O594" s="19" t="str">
        <x:v>PCPs received many alerts and reported overload, poor usability, and handoff problems.</x:v>
      </x:c>
      <x:c r="P594" s="19" t="str">
        <x:v>Abnormal results could be missed or delayed.</x:v>
      </x:c>
      <x:c r="Q594" s="19" t="str"/>
      <x:c r="R594" s="19" t="str">
        <x:v>Risk-ranked result inbox with owner, severity, patient-notified status, and escalation.</x:v>
      </x:c>
      <x:c r="S594" s="19" t="str">
        <x:v>high</x:v>
      </x:c>
      <x:c r="T594" s="19" t="str">
        <x:v>04_topic_outputs/tables/workflow_obstacle_table.csv</x:v>
      </x:c>
      <x:c r="U594" s="19" t="str">
        <x:v>research_evidence_package_clinician_side_diagnostic_pain_points_2026-05-30.tar.gz::04_topic_outputs/tables/workflow_obstacle_table.csv::E001</x:v>
      </x:c>
    </x:row>
    <x:row r="595">
      <x:c r="A595" s="19" t="str">
        <x:v>D_clinician</x:v>
      </x:c>
      <x:c r="B595" s="19" t="str">
        <x:v>research_evidence_package_clinician_side_diagnostic_pain_points_2026-05-30.tar.gz</x:v>
      </x:c>
      <x:c r="C595" s="19" t="str">
        <x:v>Research D / clinician-side diagnostic pain points</x:v>
      </x:c>
      <x:c r="D595" s="19" t="str">
        <x:v>workflow_obstacle_table</x:v>
      </x:c>
      <x:c r="E595" s="19" t="str">
        <x:v>E002</x:v>
      </x:c>
      <x:c r="F595" s="19" t="str">
        <x:v>S006</x:v>
      </x:c>
      <x:c r="G595" s="19" t="str"/>
      <x:c r="H595" s="19" t="str">
        <x:v>https://jamanetwork.com/journals/jamainternalmedicine/fullarticle/1656540</x:v>
      </x:c>
      <x:c r="I595" s="19" t="str">
        <x:v>United States</x:v>
      </x:c>
      <x:c r="J595" s="19" t="str">
        <x:v>primary care</x:v>
      </x:c>
      <x:c r="K595" s="19" t="str">
        <x:v>first assessment / history / exam / tests / referral</x:v>
      </x:c>
      <x:c r="L595" s="19" t="str">
        <x:v>common missed diagnoses</x:v>
      </x:c>
      <x:c r="M595" s="19" t="str">
        <x:v>diagnostic process breakdown</x:v>
      </x:c>
      <x:c r="N595" s="19" t="str">
        <x:v>Reviewed diagnostic-error cases showed breakdowns across history, exam, testing, referral, and tracking.</x:v>
      </x:c>
      <x:c r="O595" s="19" t="str">
        <x:v>190 diagnostic-error cases were reviewed using EHR-based triggers.</x:v>
      </x:c>
      <x:c r="P595" s="19" t="str">
        <x:v>Common diseases could be missed, including pneumonia, heart failure, renal failure, cancer, UTI/pyelonephritis.</x:v>
      </x:c>
      <x:c r="Q595" s="19" t="str"/>
      <x:c r="R595" s="19" t="str">
        <x:v>Return-visit flags, diagnostic checklist, and tracking for common high-harm misses.</x:v>
      </x:c>
      <x:c r="S595" s="19" t="str">
        <x:v>high</x:v>
      </x:c>
      <x:c r="T595" s="19" t="str">
        <x:v>04_topic_outputs/tables/workflow_obstacle_table.csv</x:v>
      </x:c>
      <x:c r="U595" s="19" t="str">
        <x:v>research_evidence_package_clinician_side_diagnostic_pain_points_2026-05-30.tar.gz::04_topic_outputs/tables/workflow_obstacle_table.csv::E002</x:v>
      </x:c>
    </x:row>
    <x:row r="596">
      <x:c r="A596" s="19" t="str">
        <x:v>D_clinician</x:v>
      </x:c>
      <x:c r="B596" s="19" t="str">
        <x:v>research_evidence_package_clinician_side_diagnostic_pain_points_2026-05-30.tar.gz</x:v>
      </x:c>
      <x:c r="C596" s="19" t="str">
        <x:v>Research D / clinician-side diagnostic pain points</x:v>
      </x:c>
      <x:c r="D596" s="19" t="str">
        <x:v>workflow_obstacle_table</x:v>
      </x:c>
      <x:c r="E596" s="19" t="str">
        <x:v>E003</x:v>
      </x:c>
      <x:c r="F596" s="19" t="str">
        <x:v>S007</x:v>
      </x:c>
      <x:c r="G596" s="19" t="str"/>
      <x:c r="H596" s="19" t="str">
        <x:v>https://link.springer.com/article/10.1007/s11606-019-05343-6</x:v>
      </x:c>
      <x:c r="I596" s="19" t="str">
        <x:v>United States</x:v>
      </x:c>
      <x:c r="J596" s="19" t="str">
        <x:v>primary care</x:v>
      </x:c>
      <x:c r="K596" s="19" t="str">
        <x:v>medical history / first assessment / follow-up</x:v>
      </x:c>
      <x:c r="L596" s="19" t="str">
        <x:v>complex patients and limited English proficiency</x:v>
      </x:c>
      <x:c r="M596" s="19" t="str">
        <x:v>time pressure</x:v>
      </x:c>
      <x:c r="N596" s="19" t="str">
        <x:v>Clinicians often needed more time than allotted.</x:v>
      </x:c>
      <x:c r="O596" s="19" t="str">
        <x:v>Time pressure was especially high with complex psychosocial needs and limited English proficiency.</x:v>
      </x:c>
      <x:c r="P596" s="19" t="str">
        <x:v>Subtle red flags or context could be missed.</x:v>
      </x:c>
      <x:c r="Q596" s="19" t="str"/>
      <x:c r="R596" s="19" t="str">
        <x:v>Previsit narrative capture and interpreter/social-complexity preparation.</x:v>
      </x:c>
      <x:c r="S596" s="19" t="str">
        <x:v>high</x:v>
      </x:c>
      <x:c r="T596" s="19" t="str">
        <x:v>04_topic_outputs/tables/workflow_obstacle_table.csv</x:v>
      </x:c>
      <x:c r="U596" s="19" t="str">
        <x:v>research_evidence_package_clinician_side_diagnostic_pain_points_2026-05-30.tar.gz::04_topic_outputs/tables/workflow_obstacle_table.csv::E003</x:v>
      </x:c>
    </x:row>
    <x:row r="597">
      <x:c r="A597" s="19" t="str">
        <x:v>D_clinician</x:v>
      </x:c>
      <x:c r="B597" s="19" t="str">
        <x:v>research_evidence_package_clinician_side_diagnostic_pain_points_2026-05-30.tar.gz</x:v>
      </x:c>
      <x:c r="C597" s="19" t="str">
        <x:v>Research D / clinician-side diagnostic pain points</x:v>
      </x:c>
      <x:c r="D597" s="19" t="str">
        <x:v>workflow_obstacle_table</x:v>
      </x:c>
      <x:c r="E597" s="19" t="str">
        <x:v>E004</x:v>
      </x:c>
      <x:c r="F597" s="19" t="str">
        <x:v>S008</x:v>
      </x:c>
      <x:c r="G597" s="19" t="str"/>
      <x:c r="H597" s="19" t="str">
        <x:v>https://link.springer.com/article/10.1186/s12875-024-02526-x</x:v>
      </x:c>
      <x:c r="I597" s="19" t="str">
        <x:v>United Kingdom</x:v>
      </x:c>
      <x:c r="J597" s="19" t="str">
        <x:v>general practice</x:v>
      </x:c>
      <x:c r="K597" s="19" t="str">
        <x:v>diagnosis discussion / safety-netting / follow-up</x:v>
      </x:c>
      <x:c r="L597" s="19" t="str">
        <x:v>new or persistent undiagnosed symptoms</x:v>
      </x:c>
      <x:c r="M597" s="19" t="str">
        <x:v>diagnostic uncertainty</x:v>
      </x:c>
      <x:c r="N597" s="19" t="str">
        <x:v>Safety-netting plans varied in specificity and responsibility.</x:v>
      </x:c>
      <x:c r="O597" s="19" t="str">
        <x:v>GPs used monitoring, treatment, and administrative risk strategies.</x:v>
      </x:c>
      <x:c r="P597" s="19" t="str">
        <x:v>Worsening symptoms may not be acted on without a clear plan.</x:v>
      </x:c>
      <x:c r="Q597" s="19" t="str"/>
      <x:c r="R597" s="19" t="str">
        <x:v>Safety-net plan with red flags, timescale, responsible clinician, and follow-up trigger.</x:v>
      </x:c>
      <x:c r="S597" s="19" t="str">
        <x:v>medium-high</x:v>
      </x:c>
      <x:c r="T597" s="19" t="str">
        <x:v>04_topic_outputs/tables/workflow_obstacle_table.csv</x:v>
      </x:c>
      <x:c r="U597" s="19" t="str">
        <x:v>research_evidence_package_clinician_side_diagnostic_pain_points_2026-05-30.tar.gz::04_topic_outputs/tables/workflow_obstacle_table.csv::E004</x:v>
      </x:c>
    </x:row>
    <x:row r="598">
      <x:c r="A598" s="19" t="str">
        <x:v>D_clinician</x:v>
      </x:c>
      <x:c r="B598" s="19" t="str">
        <x:v>research_evidence_package_clinician_side_diagnostic_pain_points_2026-05-30.tar.gz</x:v>
      </x:c>
      <x:c r="C598" s="19" t="str">
        <x:v>Research D / clinician-side diagnostic pain points</x:v>
      </x:c>
      <x:c r="D598" s="19" t="str">
        <x:v>workflow_obstacle_table</x:v>
      </x:c>
      <x:c r="E598" s="19" t="str">
        <x:v>E005</x:v>
      </x:c>
      <x:c r="F598" s="19" t="str">
        <x:v>S009</x:v>
      </x:c>
      <x:c r="G598" s="19" t="str"/>
      <x:c r="H598" s="19" t="str">
        <x:v>https://www.hssib.org.uk/patient-safety-investigations/continuity-of-care-delayed-diagnosis-in-gp-practices/</x:v>
      </x:c>
      <x:c r="I598" s="19" t="str">
        <x:v>England</x:v>
      </x:c>
      <x:c r="J598" s="19" t="str">
        <x:v>general practice / ED / oncology</x:v>
      </x:c>
      <x:c r="K598" s="19" t="str">
        <x:v>repeat visit / referral / emergency escalation</x:v>
      </x:c>
      <x:c r="L598" s="19" t="str">
        <x:v>severe back pain after prior breast cancer</x:v>
      </x:c>
      <x:c r="M598" s="19" t="str">
        <x:v>continuity failure</x:v>
      </x:c>
      <x:c r="N598" s="19" t="str">
        <x:v>Multiple contacts over eight months preceded diagnosis of spinal metastatic cancer.</x:v>
      </x:c>
      <x:c r="O598" s="19" t="str">
        <x:v>Back pain was treated and later investigated after spinal lump was found.</x:v>
      </x:c>
      <x:c r="P598" s="19" t="str">
        <x:v>Repeat unresolving symptom and prior cancer history were not connected early.</x:v>
      </x:c>
      <x:c r="Q598" s="19" t="str"/>
      <x:c r="R598" s="19" t="str">
        <x:v>Unresolved-symptom timeline and prior cancer/history surfacing.</x:v>
      </x:c>
      <x:c r="S598" s="19" t="str">
        <x:v>high</x:v>
      </x:c>
      <x:c r="T598" s="19" t="str">
        <x:v>04_topic_outputs/tables/workflow_obstacle_table.csv</x:v>
      </x:c>
      <x:c r="U598" s="19" t="str">
        <x:v>research_evidence_package_clinician_side_diagnostic_pain_points_2026-05-30.tar.gz::04_topic_outputs/tables/workflow_obstacle_table.csv::E005</x:v>
      </x:c>
    </x:row>
    <x:row r="599">
      <x:c r="A599" s="19" t="str">
        <x:v>D_clinician</x:v>
      </x:c>
      <x:c r="B599" s="19" t="str">
        <x:v>research_evidence_package_clinician_side_diagnostic_pain_points_2026-05-30.tar.gz</x:v>
      </x:c>
      <x:c r="C599" s="19" t="str">
        <x:v>Research D / clinician-side diagnostic pain points</x:v>
      </x:c>
      <x:c r="D599" s="19" t="str">
        <x:v>workflow_obstacle_table</x:v>
      </x:c>
      <x:c r="E599" s="19" t="str">
        <x:v>E006</x:v>
      </x:c>
      <x:c r="F599" s="19" t="str">
        <x:v>S010</x:v>
      </x:c>
      <x:c r="G599" s="19" t="str"/>
      <x:c r="H599" s="19" t="str">
        <x:v>https://www.hssib.org.uk/patient-safety-investigations/workforce-and-patient-safety/second-investigation-report/</x:v>
      </x:c>
      <x:c r="I599" s="19" t="str">
        <x:v>England</x:v>
      </x:c>
      <x:c r="J599" s="19" t="str">
        <x:v>general practice / online consultation</x:v>
      </x:c>
      <x:c r="K599" s="19" t="str">
        <x:v>before visit / online intake / triage</x:v>
      </x:c>
      <x:c r="L599" s="19" t="str">
        <x:v>worsening skin lesion with prior skin cancer</x:v>
      </x:c>
      <x:c r="M599" s="19" t="str">
        <x:v>digital intake risk</x:v>
      </x:c>
      <x:c r="N599" s="19" t="str">
        <x:v>A second online request lacked prior cancer history and was triaged as routine.</x:v>
      </x:c>
      <x:c r="O599" s="19" t="str">
        <x:v>Later GP review generated an urgent referral.</x:v>
      </x:c>
      <x:c r="P599" s="19" t="str">
        <x:v>Prior cancer history and deterioration were not joined in the online triage step.</x:v>
      </x:c>
      <x:c r="Q599" s="19" t="str"/>
      <x:c r="R599" s="19" t="str">
        <x:v>Online intake should auto-surface major history and related recent contacts.</x:v>
      </x:c>
      <x:c r="S599" s="19" t="str">
        <x:v>high</x:v>
      </x:c>
      <x:c r="T599" s="19" t="str">
        <x:v>04_topic_outputs/tables/workflow_obstacle_table.csv</x:v>
      </x:c>
      <x:c r="U599" s="19" t="str">
        <x:v>research_evidence_package_clinician_side_diagnostic_pain_points_2026-05-30.tar.gz::04_topic_outputs/tables/workflow_obstacle_table.csv::E006</x:v>
      </x:c>
    </x:row>
    <x:row r="600">
      <x:c r="A600" s="19" t="str">
        <x:v>D_clinician</x:v>
      </x:c>
      <x:c r="B600" s="19" t="str">
        <x:v>research_evidence_package_clinician_side_diagnostic_pain_points_2026-05-30.tar.gz</x:v>
      </x:c>
      <x:c r="C600" s="19" t="str">
        <x:v>Research D / clinician-side diagnostic pain points</x:v>
      </x:c>
      <x:c r="D600" s="19" t="str">
        <x:v>workflow_obstacle_table</x:v>
      </x:c>
      <x:c r="E600" s="19" t="str">
        <x:v>E007</x:v>
      </x:c>
      <x:c r="F600" s="19" t="str">
        <x:v>S010</x:v>
      </x:c>
      <x:c r="G600" s="19" t="str"/>
      <x:c r="H600" s="19" t="str">
        <x:v>https://www.hssib.org.uk/patient-safety-investigations/workforce-and-patient-safety/second-investigation-report/</x:v>
      </x:c>
      <x:c r="I600" s="19" t="str">
        <x:v>England</x:v>
      </x:c>
      <x:c r="J600" s="19" t="str">
        <x:v>general practice / telehealth</x:v>
      </x:c>
      <x:c r="K600" s="19" t="str">
        <x:v>intake form / triage</x:v>
      </x:c>
      <x:c r="L600" s="19" t="str">
        <x:v>complex or multi-symptom requests</x:v>
      </x:c>
      <x:c r="M600" s="19" t="str">
        <x:v>digital intake design</x:v>
      </x:c>
      <x:c r="N600" s="19" t="str">
        <x:v>Online forms can lose nuance when they force single-symptom routes or depend on free text.</x:v>
      </x:c>
      <x:c r="O600" s="19" t="str">
        <x:v>HSSIB described risks in both structured and free-text intake.</x:v>
      </x:c>
      <x:c r="P600" s="19" t="str">
        <x:v>Complexity and patient meaning may be missed.</x:v>
      </x:c>
      <x:c r="Q600" s="19" t="str"/>
      <x:c r="R600" s="19" t="str">
        <x:v>Hybrid intake: narrative, adaptive red flags, prior-history auto-pull, complexity escape hatch.</x:v>
      </x:c>
      <x:c r="S600" s="19" t="str">
        <x:v>high</x:v>
      </x:c>
      <x:c r="T600" s="19" t="str">
        <x:v>04_topic_outputs/tables/workflow_obstacle_table.csv</x:v>
      </x:c>
      <x:c r="U600" s="19" t="str">
        <x:v>research_evidence_package_clinician_side_diagnostic_pain_points_2026-05-30.tar.gz::04_topic_outputs/tables/workflow_obstacle_table.csv::E007</x:v>
      </x:c>
    </x:row>
    <x:row r="601">
      <x:c r="A601" s="19" t="str">
        <x:v>D_clinician</x:v>
      </x:c>
      <x:c r="B601" s="19" t="str">
        <x:v>research_evidence_package_clinician_side_diagnostic_pain_points_2026-05-30.tar.gz</x:v>
      </x:c>
      <x:c r="C601" s="19" t="str">
        <x:v>Research D / clinician-side diagnostic pain points</x:v>
      </x:c>
      <x:c r="D601" s="19" t="str">
        <x:v>workflow_obstacle_table</x:v>
      </x:c>
      <x:c r="E601" s="19" t="str">
        <x:v>E008</x:v>
      </x:c>
      <x:c r="F601" s="19" t="str">
        <x:v>S012</x:v>
      </x:c>
      <x:c r="G601" s="19" t="str"/>
      <x:c r="H601" s="19" t="str">
        <x:v>https://www.ncbi.nlm.nih.gov/sites/books/NBK588118/</x:v>
      </x:c>
      <x:c r="I601" s="19" t="str">
        <x:v>Mostly United States</x:v>
      </x:c>
      <x:c r="J601" s="19" t="str">
        <x:v>emergency department</x:v>
      </x:c>
      <x:c r="K601" s="19" t="str">
        <x:v>triage / assessment / testing / discharge</x:v>
      </x:c>
      <x:c r="L601" s="19" t="str">
        <x:v>stroke, MI, aortic dissection, spinal cord compression, VTE, meningitis, sepsis, etc.</x:v>
      </x:c>
      <x:c r="M601" s="19" t="str">
        <x:v>ED diagnostic error</x:v>
      </x:c>
      <x:c r="N601" s="19" t="str">
        <x:v>Serious ED diagnostic harms concentrated in a set of high-risk conditions.</x:v>
      </x:c>
      <x:c r="O601" s="19" t="str">
        <x:v>A systematic review identified high-risk conditions and presentation patterns.</x:v>
      </x:c>
      <x:c r="P601" s="19" t="str">
        <x:v>High-risk disease behind common symptoms can be missed.</x:v>
      </x:c>
      <x:c r="Q601" s="19" t="str"/>
      <x:c r="R601" s="19" t="str">
        <x:v>High-risk diagnosis overlays by symptom, repeat visit, vitals, and risk factors.</x:v>
      </x:c>
      <x:c r="S601" s="19" t="str">
        <x:v>high</x:v>
      </x:c>
      <x:c r="T601" s="19" t="str">
        <x:v>04_topic_outputs/tables/workflow_obstacle_table.csv</x:v>
      </x:c>
      <x:c r="U601" s="19" t="str">
        <x:v>research_evidence_package_clinician_side_diagnostic_pain_points_2026-05-30.tar.gz::04_topic_outputs/tables/workflow_obstacle_table.csv::E008</x:v>
      </x:c>
    </x:row>
    <x:row r="602">
      <x:c r="A602" s="19" t="str">
        <x:v>D_clinician</x:v>
      </x:c>
      <x:c r="B602" s="19" t="str">
        <x:v>research_evidence_package_clinician_side_diagnostic_pain_points_2026-05-30.tar.gz</x:v>
      </x:c>
      <x:c r="C602" s="19" t="str">
        <x:v>Research D / clinician-side diagnostic pain points</x:v>
      </x:c>
      <x:c r="D602" s="19" t="str">
        <x:v>workflow_obstacle_table</x:v>
      </x:c>
      <x:c r="E602" s="19" t="str">
        <x:v>E009</x:v>
      </x:c>
      <x:c r="F602" s="19" t="str">
        <x:v>S013</x:v>
      </x:c>
      <x:c r="G602" s="19" t="str"/>
      <x:c r="H602" s="19" t="str">
        <x:v>https://psnet.ahrq.gov/issue/ahrq-report-diagnostic-errors-emergency-department-wrong-answer-wrong-question</x:v>
      </x:c>
      <x:c r="I602" s="19" t="str">
        <x:v>United States</x:v>
      </x:c>
      <x:c r="J602" s="19" t="str">
        <x:v>emergency department</x:v>
      </x:c>
      <x:c r="K602" s="19" t="str">
        <x:v>ED-wide workflow</x:v>
      </x:c>
      <x:c r="L602" s="19" t="str">
        <x:v>crowding and throughput pressure</x:v>
      </x:c>
      <x:c r="M602" s="19" t="str">
        <x:v>system overload</x:v>
      </x:c>
      <x:c r="N602" s="19" t="str">
        <x:v>Commentary argued ED misdiagnosis should be understood in the broader system of crowding and safety risk.</x:v>
      </x:c>
      <x:c r="O602" s="19" t="str">
        <x:v>AHRQ ED diagnostic-error framing was critiqued.</x:v>
      </x:c>
      <x:c r="P602" s="19" t="str">
        <x:v>Diagnostic attention and follow-up may degrade under crowding.</x:v>
      </x:c>
      <x:c r="Q602" s="19" t="str"/>
      <x:c r="R602" s="19" t="str">
        <x:v>Crowding-aware diagnostic review triggers and workload dashboards.</x:v>
      </x:c>
      <x:c r="S602" s="19" t="str">
        <x:v>medium</x:v>
      </x:c>
      <x:c r="T602" s="19" t="str">
        <x:v>04_topic_outputs/tables/workflow_obstacle_table.csv</x:v>
      </x:c>
      <x:c r="U602" s="19" t="str">
        <x:v>research_evidence_package_clinician_side_diagnostic_pain_points_2026-05-30.tar.gz::04_topic_outputs/tables/workflow_obstacle_table.csv::E009</x:v>
      </x:c>
    </x:row>
    <x:row r="603">
      <x:c r="A603" s="19" t="str">
        <x:v>D_clinician</x:v>
      </x:c>
      <x:c r="B603" s="19" t="str">
        <x:v>research_evidence_package_clinician_side_diagnostic_pain_points_2026-05-30.tar.gz</x:v>
      </x:c>
      <x:c r="C603" s="19" t="str">
        <x:v>Research D / clinician-side diagnostic pain points</x:v>
      </x:c>
      <x:c r="D603" s="19" t="str">
        <x:v>workflow_obstacle_table</x:v>
      </x:c>
      <x:c r="E603" s="19" t="str">
        <x:v>E010</x:v>
      </x:c>
      <x:c r="F603" s="19" t="str">
        <x:v>S015</x:v>
      </x:c>
      <x:c r="G603" s="19" t="str"/>
      <x:c r="H603" s="19" t="str">
        <x:v>https://research-portal.uea.ac.uk/en/publications/assessments-under-pressure-interviews-with-triage-nurses-in-emerg/</x:v>
      </x:c>
      <x:c r="I603" s="19" t="str">
        <x:v>United Kingdom</x:v>
      </x:c>
      <x:c r="J603" s="19" t="str">
        <x:v>ED triage</x:v>
      </x:c>
      <x:c r="K603" s="19" t="str">
        <x:v>arrival / nurse triage / acuity assignment</x:v>
      </x:c>
      <x:c r="L603" s="19" t="str">
        <x:v>urgency assessment</x:v>
      </x:c>
      <x:c r="M603" s="19" t="str">
        <x:v>triage overload</x:v>
      </x:c>
      <x:c r="N603" s="19" t="str">
        <x:v>Triage nurses reported pressure, cognitive strain, and emotional strain during acuity decisions.</x:v>
      </x:c>
      <x:c r="O603" s="19" t="str">
        <x:v>Interviews identified training, experience, culture, and strain as decision factors.</x:v>
      </x:c>
      <x:c r="P603" s="19" t="str">
        <x:v>High-risk patients may be under-triaged.</x:v>
      </x:c>
      <x:c r="Q603" s="19" t="str"/>
      <x:c r="R603" s="19" t="str">
        <x:v>Triage co-pilot with red flags, reassessment timers, and escalation support.</x:v>
      </x:c>
      <x:c r="S603" s="19" t="str">
        <x:v>medium</x:v>
      </x:c>
      <x:c r="T603" s="19" t="str">
        <x:v>04_topic_outputs/tables/workflow_obstacle_table.csv</x:v>
      </x:c>
      <x:c r="U603" s="19" t="str">
        <x:v>research_evidence_package_clinician_side_diagnostic_pain_points_2026-05-30.tar.gz::04_topic_outputs/tables/workflow_obstacle_table.csv::E010</x:v>
      </x:c>
    </x:row>
    <x:row r="604">
      <x:c r="A604" s="19" t="str">
        <x:v>D_clinician</x:v>
      </x:c>
      <x:c r="B604" s="19" t="str">
        <x:v>research_evidence_package_clinician_side_diagnostic_pain_points_2026-05-30.tar.gz</x:v>
      </x:c>
      <x:c r="C604" s="19" t="str">
        <x:v>Research D / clinician-side diagnostic pain points</x:v>
      </x:c>
      <x:c r="D604" s="19" t="str">
        <x:v>workflow_obstacle_table</x:v>
      </x:c>
      <x:c r="E604" s="19" t="str">
        <x:v>E011</x:v>
      </x:c>
      <x:c r="F604" s="19" t="str">
        <x:v>S011</x:v>
      </x:c>
      <x:c r="G604" s="19" t="str"/>
      <x:c r="H604" s="19" t="str">
        <x:v>https://www.hssib.org.uk/patient-safety-investigations/the-impact-of-staff-fatigue-on-patient-safety/investigation-report/</x:v>
      </x:c>
      <x:c r="I604" s="19" t="str">
        <x:v>England</x:v>
      </x:c>
      <x:c r="J604" s="19" t="str">
        <x:v>acute NHS hospitals</x:v>
      </x:c>
      <x:c r="K604" s="19" t="str">
        <x:v>all stages / shifts / handoffs</x:v>
      </x:c>
      <x:c r="L604" s="19" t="str">
        <x:v>fatigue, concentration, empathy, medication safety</x:v>
      </x:c>
      <x:c r="M604" s="19" t="str">
        <x:v>fatigue and burnout</x:v>
      </x:c>
      <x:c r="N604" s="19" t="str">
        <x:v>Staff fatigue contributes directly and indirectly to patient harm but is not routinely captured.</x:v>
      </x:c>
      <x:c r="O604" s="19" t="str">
        <x:v>HSSIB gathered staff accounts and safety-system findings.</x:v>
      </x:c>
      <x:c r="P604" s="19" t="str">
        <x:v>Attentional lapses, communication problems, or task omissions can be missed.</x:v>
      </x:c>
      <x:c r="Q604" s="19" t="str"/>
      <x:c r="R604" s="19" t="str">
        <x:v>Fatigue-aware task routing and second-check triggers for high-risk diagnostic tasks.</x:v>
      </x:c>
      <x:c r="S604" s="19" t="str">
        <x:v>high</x:v>
      </x:c>
      <x:c r="T604" s="19" t="str">
        <x:v>04_topic_outputs/tables/workflow_obstacle_table.csv</x:v>
      </x:c>
      <x:c r="U604" s="19" t="str">
        <x:v>research_evidence_package_clinician_side_diagnostic_pain_points_2026-05-30.tar.gz::04_topic_outputs/tables/workflow_obstacle_table.csv::E011</x:v>
      </x:c>
    </x:row>
    <x:row r="605">
      <x:c r="A605" s="19" t="str">
        <x:v>D_clinician</x:v>
      </x:c>
      <x:c r="B605" s="19" t="str">
        <x:v>research_evidence_package_clinician_side_diagnostic_pain_points_2026-05-30.tar.gz</x:v>
      </x:c>
      <x:c r="C605" s="19" t="str">
        <x:v>Research D / clinician-side diagnostic pain points</x:v>
      </x:c>
      <x:c r="D605" s="19" t="str">
        <x:v>workflow_obstacle_table</x:v>
      </x:c>
      <x:c r="E605" s="19" t="str">
        <x:v>E012</x:v>
      </x:c>
      <x:c r="F605" s="19" t="str">
        <x:v>S014</x:v>
      </x:c>
      <x:c r="G605" s="19" t="str"/>
      <x:c r="H605" s="19" t="str">
        <x:v>https://www.sciencedirect.com/science/article/pii/S266732152400091X</x:v>
      </x:c>
      <x:c r="I605" s="19" t="str">
        <x:v>Ghana</x:v>
      </x:c>
      <x:c r="J605" s="19" t="str">
        <x:v>referral hospitals: ED, ICU, wards, maternity</x:v>
      </x:c>
      <x:c r="K605" s="19" t="str">
        <x:v>handover / inpatient monitoring</x:v>
      </x:c>
      <x:c r="L605" s="19" t="str">
        <x:v>diagnosis, medications, treatment plan</x:v>
      </x:c>
      <x:c r="M605" s="19" t="str">
        <x:v>handoff failure</x:v>
      </x:c>
      <x:c r="N605" s="19" t="str">
        <x:v>Poor handover communication was linked to documentation, training, procedure, and culture barriers.</x:v>
      </x:c>
      <x:c r="O605" s="19" t="str">
        <x:v>Qualitative interviews described communication barriers during handovers.</x:v>
      </x:c>
      <x:c r="P605" s="19" t="str">
        <x:v>Diagnosis, medications, treatment changes, and pending tasks may be missed.</x:v>
      </x:c>
      <x:c r="Q605" s="19" t="str"/>
      <x:c r="R605" s="19" t="str">
        <x:v>Standardized handoff object with diagnosis, uncertainty, pending tests, watch-outs, and next owner.</x:v>
      </x:c>
      <x:c r="S605" s="19" t="str">
        <x:v>medium</x:v>
      </x:c>
      <x:c r="T605" s="19" t="str">
        <x:v>04_topic_outputs/tables/workflow_obstacle_table.csv</x:v>
      </x:c>
      <x:c r="U605" s="19" t="str">
        <x:v>research_evidence_package_clinician_side_diagnostic_pain_points_2026-05-30.tar.gz::04_topic_outputs/tables/workflow_obstacle_table.csv::E012</x:v>
      </x:c>
    </x:row>
    <x:row r="606">
      <x:c r="A606" s="19" t="str">
        <x:v>D_clinician</x:v>
      </x:c>
      <x:c r="B606" s="19" t="str">
        <x:v>research_evidence_package_clinician_side_diagnostic_pain_points_2026-05-30.tar.gz</x:v>
      </x:c>
      <x:c r="C606" s="19" t="str">
        <x:v>Research D / clinician-side diagnostic pain points</x:v>
      </x:c>
      <x:c r="D606" s="19" t="str">
        <x:v>workflow_obstacle_table</x:v>
      </x:c>
      <x:c r="E606" s="19" t="str">
        <x:v>E013</x:v>
      </x:c>
      <x:c r="F606" s="19" t="str">
        <x:v>S017</x:v>
      </x:c>
      <x:c r="G606" s="19" t="str"/>
      <x:c r="H606" s="19" t="str">
        <x:v>https://pmc.ncbi.nlm.nih.gov/articles/PMC9328695/</x:v>
      </x:c>
      <x:c r="I606" s="19" t="str">
        <x:v>United States</x:v>
      </x:c>
      <x:c r="J606" s="19" t="str">
        <x:v>primary/specialty care</x:v>
      </x:c>
      <x:c r="K606" s="19" t="str">
        <x:v>referral / specialist review / feedback</x:v>
      </x:c>
      <x:c r="L606" s="19" t="str">
        <x:v>referral question and consult result</x:v>
      </x:c>
      <x:c r="M606" s="19" t="str">
        <x:v>specialist communication</x:v>
      </x:c>
      <x:c r="N606" s="19" t="str">
        <x:v>Communication gaps remained despite EHR diffusion.</x:v>
      </x:c>
      <x:c r="O606" s="19" t="str">
        <x:v>Survey identified persistent PCP-specialist communication gaps.</x:v>
      </x:c>
      <x:c r="P606" s="19" t="str">
        <x:v>Specialist feedback or PCP clinical question may not connect.</x:v>
      </x:c>
      <x:c r="Q606" s="19" t="str"/>
      <x:c r="R606" s="19" t="str">
        <x:v>Referral object with clinical question, urgency, attachments, consultant response, next owner.</x:v>
      </x:c>
      <x:c r="S606" s="19" t="str">
        <x:v>medium-high</x:v>
      </x:c>
      <x:c r="T606" s="19" t="str">
        <x:v>04_topic_outputs/tables/workflow_obstacle_table.csv</x:v>
      </x:c>
      <x:c r="U606" s="19" t="str">
        <x:v>research_evidence_package_clinician_side_diagnostic_pain_points_2026-05-30.tar.gz::04_topic_outputs/tables/workflow_obstacle_table.csv::E013</x:v>
      </x:c>
    </x:row>
    <x:row r="607">
      <x:c r="A607" s="19" t="str">
        <x:v>D_clinician</x:v>
      </x:c>
      <x:c r="B607" s="19" t="str">
        <x:v>research_evidence_package_clinician_side_diagnostic_pain_points_2026-05-30.tar.gz</x:v>
      </x:c>
      <x:c r="C607" s="19" t="str">
        <x:v>Research D / clinician-side diagnostic pain points</x:v>
      </x:c>
      <x:c r="D607" s="19" t="str">
        <x:v>workflow_obstacle_table</x:v>
      </x:c>
      <x:c r="E607" s="19" t="str">
        <x:v>E014</x:v>
      </x:c>
      <x:c r="F607" s="19" t="str">
        <x:v>S016</x:v>
      </x:c>
      <x:c r="G607" s="19" t="str"/>
      <x:c r="H607" s="19" t="str">
        <x:v>https://bmjopenquality.bmj.com/content/10/4/e001603</x:v>
      </x:c>
      <x:c r="I607" s="19" t="str">
        <x:v>United States</x:v>
      </x:c>
      <x:c r="J607" s="19" t="str">
        <x:v>primary-specialty referrals</x:v>
      </x:c>
      <x:c r="K607" s="19" t="str">
        <x:v>referral / appointment completion / follow-up</x:v>
      </x:c>
      <x:c r="L607" s="19" t="str">
        <x:v>diagnostic referral completion</x:v>
      </x:c>
      <x:c r="M607" s="19" t="str">
        <x:v>referral loop failure</x:v>
      </x:c>
      <x:c r="N607" s="19" t="str">
        <x:v>Closed diagnostic referral loops remain a safety problem.</x:v>
      </x:c>
      <x:c r="O607" s="19" t="str">
        <x:v>Systems-engineering analysis described failures and redesign approaches.</x:v>
      </x:c>
      <x:c r="P607" s="19" t="str">
        <x:v>Specialist evaluation or test may be missed.</x:v>
      </x:c>
      <x:c r="Q607" s="19" t="str"/>
      <x:c r="R607" s="19" t="str">
        <x:v>Closed-loop referral tracker with due dates and exception handling.</x:v>
      </x:c>
      <x:c r="S607" s="19" t="str">
        <x:v>medium-high</x:v>
      </x:c>
      <x:c r="T607" s="19" t="str">
        <x:v>04_topic_outputs/tables/workflow_obstacle_table.csv</x:v>
      </x:c>
      <x:c r="U607" s="19" t="str">
        <x:v>research_evidence_package_clinician_side_diagnostic_pain_points_2026-05-30.tar.gz::04_topic_outputs/tables/workflow_obstacle_table.csv::E014</x:v>
      </x:c>
    </x:row>
    <x:row r="608">
      <x:c r="A608" s="19" t="str">
        <x:v>D_clinician</x:v>
      </x:c>
      <x:c r="B608" s="19" t="str">
        <x:v>research_evidence_package_clinician_side_diagnostic_pain_points_2026-05-30.tar.gz</x:v>
      </x:c>
      <x:c r="C608" s="19" t="str">
        <x:v>Research D / clinician-side diagnostic pain points</x:v>
      </x:c>
      <x:c r="D608" s="19" t="str">
        <x:v>workflow_obstacle_table</x:v>
      </x:c>
      <x:c r="E608" s="19" t="str">
        <x:v>E015</x:v>
      </x:c>
      <x:c r="F608" s="19" t="str">
        <x:v>S018</x:v>
      </x:c>
      <x:c r="G608" s="19" t="str"/>
      <x:c r="H608" s="19" t="str">
        <x:v>https://pmc.ncbi.nlm.nih.gov/articles/PMC6450327/</x:v>
      </x:c>
      <x:c r="I608" s="19" t="str">
        <x:v>United States</x:v>
      </x:c>
      <x:c r="J608" s="19" t="str">
        <x:v>EHR test-result management</x:v>
      </x:c>
      <x:c r="K608" s="19" t="str">
        <x:v>abnormal result management</x:v>
      </x:c>
      <x:c r="L608" s="19" t="str">
        <x:v>abnormal test results</x:v>
      </x:c>
      <x:c r="M608" s="19" t="str">
        <x:v>EHR usability</x:v>
      </x:c>
      <x:c r="N608" s="19" t="str">
        <x:v>Enhanced usability and longitudinal tracking lowered cognitive workload and improved abnormal-result management.</x:v>
      </x:c>
      <x:c r="O608" s="19" t="str">
        <x:v>Simulation compared EHR designs.</x:v>
      </x:c>
      <x:c r="P608" s="19" t="str">
        <x:v>Abnormal results can be lost in poor interfaces.</x:v>
      </x:c>
      <x:c r="Q608" s="19" t="str"/>
      <x:c r="R608" s="19" t="str">
        <x:v>Longitudinal test-trend view and task-state tracking.</x:v>
      </x:c>
      <x:c r="S608" s="19" t="str">
        <x:v>medium-high</x:v>
      </x:c>
      <x:c r="T608" s="19" t="str">
        <x:v>04_topic_outputs/tables/workflow_obstacle_table.csv</x:v>
      </x:c>
      <x:c r="U608" s="19" t="str">
        <x:v>research_evidence_package_clinician_side_diagnostic_pain_points_2026-05-30.tar.gz::04_topic_outputs/tables/workflow_obstacle_table.csv::E015</x:v>
      </x:c>
    </x:row>
    <x:row r="609">
      <x:c r="A609" s="19" t="str">
        <x:v>D_clinician</x:v>
      </x:c>
      <x:c r="B609" s="19" t="str">
        <x:v>research_evidence_package_clinician_side_diagnostic_pain_points_2026-05-30.tar.gz</x:v>
      </x:c>
      <x:c r="C609" s="19" t="str">
        <x:v>Research D / clinician-side diagnostic pain points</x:v>
      </x:c>
      <x:c r="D609" s="19" t="str">
        <x:v>workflow_obstacle_table</x:v>
      </x:c>
      <x:c r="E609" s="19" t="str">
        <x:v>E016</x:v>
      </x:c>
      <x:c r="F609" s="19" t="str">
        <x:v>S019</x:v>
      </x:c>
      <x:c r="G609" s="19" t="str"/>
      <x:c r="H609" s="19" t="str">
        <x:v>https://pmc.ncbi.nlm.nih.gov/articles/PMC11852943/</x:v>
      </x:c>
      <x:c r="I609" s="19" t="str">
        <x:v>United States</x:v>
      </x:c>
      <x:c r="J609" s="19" t="str">
        <x:v>EHR documentation across settings</x:v>
      </x:c>
      <x:c r="K609" s="19" t="str">
        <x:v>history review / specialist review / handoff</x:v>
      </x:c>
      <x:c r="L609" s="19" t="str">
        <x:v>critical information in clinical notes</x:v>
      </x:c>
      <x:c r="M609" s="19" t="str">
        <x:v>note bloat</x:v>
      </x:c>
      <x:c r="N609" s="19" t="str">
        <x:v>Long and redundant notes can obscure important information.</x:v>
      </x:c>
      <x:c r="O609" s="19" t="str">
        <x:v>Review/commentary described note growth and redundancy.</x:v>
      </x:c>
      <x:c r="P609" s="19" t="str">
        <x:v>New facts, changed assessment, and unresolved problems may be hidden.</x:v>
      </x:c>
      <x:c r="Q609" s="19" t="str"/>
      <x:c r="R609" s="19" t="str">
        <x:v>Note-diff, copied-forward detection, concise problem timeline.</x:v>
      </x:c>
      <x:c r="S609" s="19" t="str">
        <x:v>medium</x:v>
      </x:c>
      <x:c r="T609" s="19" t="str">
        <x:v>04_topic_outputs/tables/workflow_obstacle_table.csv</x:v>
      </x:c>
      <x:c r="U609" s="19" t="str">
        <x:v>research_evidence_package_clinician_side_diagnostic_pain_points_2026-05-30.tar.gz::04_topic_outputs/tables/workflow_obstacle_table.csv::E016</x:v>
      </x:c>
    </x:row>
    <x:row r="610">
      <x:c r="A610" s="19" t="str">
        <x:v>D_clinician</x:v>
      </x:c>
      <x:c r="B610" s="19" t="str">
        <x:v>research_evidence_package_clinician_side_diagnostic_pain_points_2026-05-30.tar.gz</x:v>
      </x:c>
      <x:c r="C610" s="19" t="str">
        <x:v>Research D / clinician-side diagnostic pain points</x:v>
      </x:c>
      <x:c r="D610" s="19" t="str">
        <x:v>workflow_obstacle_table</x:v>
      </x:c>
      <x:c r="E610" s="19" t="str">
        <x:v>E017</x:v>
      </x:c>
      <x:c r="F610" s="19" t="str">
        <x:v>S020</x:v>
      </x:c>
      <x:c r="G610" s="19" t="str"/>
      <x:c r="H610" s="19" t="str">
        <x:v>https://qualitysafety.bmj.com/content/26/1/13</x:v>
      </x:c>
      <x:c r="I610" s="19" t="str">
        <x:v>Netherlands</x:v>
      </x:c>
      <x:c r="J610" s="19" t="str">
        <x:v>diagnostic reasoning experiments</x:v>
      </x:c>
      <x:c r="K610" s="19" t="str">
        <x:v>first assessment</x:v>
      </x:c>
      <x:c r="L610" s="19" t="str">
        <x:v>difficult patient behavior</x:v>
      </x:c>
      <x:c r="M610" s="19" t="str">
        <x:v>bias and labels</x:v>
      </x:c>
      <x:c r="N610" s="19" t="str">
        <x:v>Difficult patient behavior negatively affected diagnostic performance in experiments.</x:v>
      </x:c>
      <x:c r="O610" s="19" t="str">
        <x:v>Physicians reviewed vignettes with disruptive behaviors.</x:v>
      </x:c>
      <x:c r="P610" s="19" t="str">
        <x:v>Correct diagnosis behind behavior could be missed.</x:v>
      </x:c>
      <x:c r="Q610" s="19" t="str"/>
      <x:c r="R610" s="19" t="str">
        <x:v>Bias-aware diagnostic pause when stigmatizing labels or difficult interactions appear.</x:v>
      </x:c>
      <x:c r="S610" s="19" t="str">
        <x:v>medium</x:v>
      </x:c>
      <x:c r="T610" s="19" t="str">
        <x:v>04_topic_outputs/tables/workflow_obstacle_table.csv</x:v>
      </x:c>
      <x:c r="U610" s="19" t="str">
        <x:v>research_evidence_package_clinician_side_diagnostic_pain_points_2026-05-30.tar.gz::04_topic_outputs/tables/workflow_obstacle_table.csv::E017</x:v>
      </x:c>
    </x:row>
    <x:row r="611">
      <x:c r="A611" s="19" t="str">
        <x:v>D_clinician</x:v>
      </x:c>
      <x:c r="B611" s="19" t="str">
        <x:v>research_evidence_package_clinician_side_diagnostic_pain_points_2026-05-30.tar.gz</x:v>
      </x:c>
      <x:c r="C611" s="19" t="str">
        <x:v>Research D / clinician-side diagnostic pain points</x:v>
      </x:c>
      <x:c r="D611" s="19" t="str">
        <x:v>workflow_obstacle_table</x:v>
      </x:c>
      <x:c r="E611" s="19" t="str">
        <x:v>E018</x:v>
      </x:c>
      <x:c r="F611" s="19" t="str">
        <x:v>S021</x:v>
      </x:c>
      <x:c r="G611" s="19" t="str"/>
      <x:c r="H611" s="19" t="str">
        <x:v>https://journals.plos.org/plosone/article?id=10.1371%2Fjournal.pone.0111682</x:v>
      </x:c>
      <x:c r="I611" s="19" t="str">
        <x:v>United Kingdom</x:v>
      </x:c>
      <x:c r="J611" s="19" t="str">
        <x:v>ED and psychiatric liaison</x:v>
      </x:c>
      <x:c r="K611" s="19" t="str">
        <x:v>ED assessment</x:v>
      </x:c>
      <x:c r="L611" s="19" t="str">
        <x:v>physical symptoms in patients with mental illness</x:v>
      </x:c>
      <x:c r="M611" s="19" t="str">
        <x:v>diagnostic overshadowing</x:v>
      </x:c>
      <x:c r="N611" s="19" t="str">
        <x:v>Physical symptoms may be misattributed to mental illness.</x:v>
      </x:c>
      <x:c r="O611" s="19" t="str">
        <x:v>Qualitative study explored diagnostic overshadowing and ED challenges.</x:v>
      </x:c>
      <x:c r="P611" s="19" t="str">
        <x:v>Physical illness can be missed when symptoms are attributed to psychiatric causes.</x:v>
      </x:c>
      <x:c r="Q611" s="19" t="str"/>
      <x:c r="R611" s="19" t="str">
        <x:v>Medical red-flag checklist for mental-health presentations and vitals/baseline trend display.</x:v>
      </x:c>
      <x:c r="S611" s="19" t="str">
        <x:v>medium</x:v>
      </x:c>
      <x:c r="T611" s="19" t="str">
        <x:v>04_topic_outputs/tables/workflow_obstacle_table.csv</x:v>
      </x:c>
      <x:c r="U611" s="19" t="str">
        <x:v>research_evidence_package_clinician_side_diagnostic_pain_points_2026-05-30.tar.gz::04_topic_outputs/tables/workflow_obstacle_table.csv::E018</x:v>
      </x:c>
    </x:row>
    <x:row r="612">
      <x:c r="A612" s="19" t="str">
        <x:v>D_clinician</x:v>
      </x:c>
      <x:c r="B612" s="19" t="str">
        <x:v>research_evidence_package_clinician_side_diagnostic_pain_points_2026-05-30.tar.gz</x:v>
      </x:c>
      <x:c r="C612" s="19" t="str">
        <x:v>Research D / clinician-side diagnostic pain points</x:v>
      </x:c>
      <x:c r="D612" s="19" t="str">
        <x:v>workflow_obstacle_table</x:v>
      </x:c>
      <x:c r="E612" s="19" t="str">
        <x:v>E019</x:v>
      </x:c>
      <x:c r="F612" s="19" t="str">
        <x:v>S022</x:v>
      </x:c>
      <x:c r="G612" s="19" t="str"/>
      <x:c r="H612" s="19" t="str">
        <x:v>https://link.springer.com/article/10.1186/s12889-025-22735-y</x:v>
      </x:c>
      <x:c r="I612" s="19" t="str">
        <x:v>India</x:v>
      </x:c>
      <x:c r="J612" s="19" t="str">
        <x:v>rural / community health</x:v>
      </x:c>
      <x:c r="K612" s="19" t="str">
        <x:v>screening / referral / follow-up</x:v>
      </x:c>
      <x:c r="L612" s="19" t="str">
        <x:v>cervical, breast, oral cancer signs</x:v>
      </x:c>
      <x:c r="M612" s="19" t="str">
        <x:v>low-resource early detection</x:v>
      </x:c>
      <x:c r="N612" s="19" t="str">
        <x:v>CHWs reported barriers to early cancer detection and referral.</x:v>
      </x:c>
      <x:c r="O612" s="19" t="str">
        <x:v>Qualitative study identified training, infrastructure, referral, fear, finance, and sociocultural barriers.</x:v>
      </x:c>
      <x:c r="P612" s="19" t="str">
        <x:v>Early cancer signs and referral completion may be missed.</x:v>
      </x:c>
      <x:c r="Q612" s="19" t="str"/>
      <x:c r="R612" s="19" t="str">
        <x:v>CHW decision support, local-language education, referral navigation, follow-up queue.</x:v>
      </x:c>
      <x:c r="S612" s="19" t="str">
        <x:v>medium-high</x:v>
      </x:c>
      <x:c r="T612" s="19" t="str">
        <x:v>04_topic_outputs/tables/workflow_obstacle_table.csv</x:v>
      </x:c>
      <x:c r="U612" s="19" t="str">
        <x:v>research_evidence_package_clinician_side_diagnostic_pain_points_2026-05-30.tar.gz::04_topic_outputs/tables/workflow_obstacle_table.csv::E019</x:v>
      </x:c>
    </x:row>
    <x:row r="613">
      <x:c r="A613" s="19" t="str">
        <x:v>D_clinician</x:v>
      </x:c>
      <x:c r="B613" s="19" t="str">
        <x:v>research_evidence_package_clinician_side_diagnostic_pain_points_2026-05-30.tar.gz</x:v>
      </x:c>
      <x:c r="C613" s="19" t="str">
        <x:v>Research D / clinician-side diagnostic pain points</x:v>
      </x:c>
      <x:c r="D613" s="19" t="str">
        <x:v>workflow_obstacle_table</x:v>
      </x:c>
      <x:c r="E613" s="19" t="str">
        <x:v>E020</x:v>
      </x:c>
      <x:c r="F613" s="19" t="str">
        <x:v>S023</x:v>
      </x:c>
      <x:c r="G613" s="19" t="str"/>
      <x:c r="H613" s="19" t="str">
        <x:v>https://pmc.ncbi.nlm.nih.gov/articles/PMC8654090/</x:v>
      </x:c>
      <x:c r="I613" s="19" t="str">
        <x:v>Global / LMIC</x:v>
      </x:c>
      <x:c r="J613" s="19" t="str">
        <x:v>low-resource primary care</x:v>
      </x:c>
      <x:c r="K613" s="19" t="str">
        <x:v>labs ordered / imaging ordered / public screening</x:v>
      </x:c>
      <x:c r="L613" s="19" t="str">
        <x:v>basic diagnostics for common diseases</x:v>
      </x:c>
      <x:c r="M613" s="19" t="str">
        <x:v>diagnostic access</x:v>
      </x:c>
      <x:c r="N613" s="19" t="str">
        <x:v>Large global diagnostic-access gap limits confirmation and monitoring.</x:v>
      </x:c>
      <x:c r="O613" s="19" t="str">
        <x:v>Lancet Commission summary documented inadequate access to diagnostics.</x:v>
      </x:c>
      <x:c r="P613" s="19" t="str">
        <x:v>Conditions may remain unconfirmed or unmonitored.</x:v>
      </x:c>
      <x:c r="Q613" s="19" t="str"/>
      <x:c r="R613" s="19" t="str">
        <x:v>Resource-aware workflows, point-of-care test inventory, offline referral escalation.</x:v>
      </x:c>
      <x:c r="S613" s="19" t="str">
        <x:v>high</x:v>
      </x:c>
      <x:c r="T613" s="19" t="str">
        <x:v>04_topic_outputs/tables/workflow_obstacle_table.csv</x:v>
      </x:c>
      <x:c r="U613" s="19" t="str">
        <x:v>research_evidence_package_clinician_side_diagnostic_pain_points_2026-05-30.tar.gz::04_topic_outputs/tables/workflow_obstacle_table.csv::E020</x:v>
      </x:c>
    </x:row>
    <x:row r="614">
      <x:c r="A614" s="19" t="str">
        <x:v>D_clinician</x:v>
      </x:c>
      <x:c r="B614" s="19" t="str">
        <x:v>research_evidence_package_clinician_side_diagnostic_pain_points_2026-05-30.tar.gz</x:v>
      </x:c>
      <x:c r="C614" s="19" t="str">
        <x:v>Research D / clinician-side diagnostic pain points</x:v>
      </x:c>
      <x:c r="D614" s="19" t="str">
        <x:v>workflow_obstacle_table</x:v>
      </x:c>
      <x:c r="E614" s="19" t="str">
        <x:v>E021</x:v>
      </x:c>
      <x:c r="F614" s="19" t="str">
        <x:v>S024</x:v>
      </x:c>
      <x:c r="G614" s="19" t="str"/>
      <x:c r="H614" s="19" t="str">
        <x:v>https://www.kevinmd.com/2025/04/how-to-reduce-diagnostic-error-in-the-emergency-department-podcast.html</x:v>
      </x:c>
      <x:c r="I614" s="19" t="str">
        <x:v>United States</x:v>
      </x:c>
      <x:c r="J614" s="19" t="str">
        <x:v>emergency department</x:v>
      </x:c>
      <x:c r="K614" s="19" t="str">
        <x:v>assessment / EHR review</x:v>
      </x:c>
      <x:c r="L614" s="19" t="str">
        <x:v>ED diagnostic context</x:v>
      </x:c>
      <x:c r="M614" s="19" t="str">
        <x:v>real workflow visibility</x:v>
      </x:c>
      <x:c r="N614" s="19" t="str">
        <x:v>Clinician commentary emphasized observing the actual clinician screen and workflow.</x:v>
      </x:c>
      <x:c r="O614" s="19" t="str">
        <x:v>Podcast/blog commentary discussed diagnostic-error reduction in ED.</x:v>
      </x:c>
      <x:c r="P614" s="19" t="str">
        <x:v>Prior history, pending tests, and red flags may be scattered.</x:v>
      </x:c>
      <x:c r="Q614" s="19" t="str"/>
      <x:c r="R614" s="19" t="str">
        <x:v>Field observation and screen-level workflow mapping before designing tools.</x:v>
      </x:c>
      <x:c r="S614" s="19" t="str">
        <x:v>low-medium</x:v>
      </x:c>
      <x:c r="T614" s="19" t="str">
        <x:v>04_topic_outputs/tables/workflow_obstacle_table.csv</x:v>
      </x:c>
      <x:c r="U614" s="19" t="str">
        <x:v>research_evidence_package_clinician_side_diagnostic_pain_points_2026-05-30.tar.gz::04_topic_outputs/tables/workflow_obstacle_table.csv::E021</x:v>
      </x:c>
    </x:row>
  </x:sheetData>
  <x:pageMargins left="0.7" right="0.7" top="0.75" bottom="0.75" header="0.3" footer="0.3"/>
  <x:tableParts count="1">
    <x:tablePart xmlns:r="http://schemas.openxmlformats.org/officeDocument/2006/relationships" r:id="R8fd04b9e6db1432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50" hidden="0" customWidth="1"/>
    <x:col min="9" max="9" width="28" hidden="0" customWidth="1"/>
    <x:col min="10" max="10" width="18" hidden="0" customWidth="1"/>
    <x:col min="11" max="11" width="28" hidden="0" customWidth="1"/>
    <x:col min="12" max="12" width="18" hidden="0" customWidth="1"/>
    <x:col min="13" max="13" width="18" hidden="0" customWidth="1"/>
    <x:col min="14" max="14" width="50" hidden="0" customWidth="1"/>
    <x:col min="15" max="15" width="52" hidden="0" customWidth="1"/>
    <x:col min="16" max="16" width="18" hidden="0" customWidth="1"/>
    <x:col min="17" max="17" width="18" hidden="0" customWidth="1"/>
    <x:col min="18" max="18" width="36" hidden="0" customWidth="1"/>
    <x:col min="19" max="19" width="36" hidden="0" customWidth="1"/>
    <x:col min="20" max="20" width="36" hidden="0" customWidth="1"/>
    <x:col min="21" max="21" width="36" hidden="0" customWidth="1"/>
  </x:cols>
  <x:sheetData>
    <x:row r="1" ht="45" customHeight="1">
      <x:c r="A1" s="18" t="str">
        <x:v>package_key</x:v>
      </x:c>
      <x:c r="B1" s="18" t="str">
        <x:v>package_filename</x:v>
      </x:c>
      <x:c r="C1" s="18" t="str">
        <x:v>package_topic</x:v>
      </x:c>
      <x:c r="D1" s="18" t="str">
        <x:v>table_type</x:v>
      </x:c>
      <x:c r="E1" s="18" t="str">
        <x:v>internal_id</x:v>
      </x:c>
      <x:c r="F1" s="18" t="str">
        <x:v>source_id</x:v>
      </x:c>
      <x:c r="G1" s="18" t="str">
        <x:v>source_title</x:v>
      </x:c>
      <x:c r="H1" s="18" t="str">
        <x:v>source_url_or_identifier</x:v>
      </x:c>
      <x:c r="I1" s="18" t="str">
        <x:v>country_or_region</x:v>
      </x:c>
      <x:c r="J1" s="18" t="str">
        <x:v>setting_or_context</x:v>
      </x:c>
      <x:c r="K1" s="18" t="str">
        <x:v>patient_stage_or_process_step</x:v>
      </x:c>
      <x:c r="L1" s="18" t="str">
        <x:v>condition_or_issue</x:v>
      </x:c>
      <x:c r="M1" s="18" t="str">
        <x:v>topic_category_or_theme</x:v>
      </x:c>
      <x:c r="N1" s="18" t="str">
        <x:v>finding_or_quote_or_case</x:v>
      </x:c>
      <x:c r="O1" s="18" t="str">
        <x:v>what_happened</x:v>
      </x:c>
      <x:c r="P1" s="18" t="str">
        <x:v>what_was_missed_or_identified</x:v>
      </x:c>
      <x:c r="Q1" s="18" t="str">
        <x:v>delay_or_timeline</x:v>
      </x:c>
      <x:c r="R1" s="18" t="str">
        <x:v>product_or_system_implication</x:v>
      </x:c>
      <x:c r="S1" s="18" t="str">
        <x:v>evidence_quality</x:v>
      </x:c>
      <x:c r="T1" s="18" t="str">
        <x:v>source_file_path</x:v>
      </x:c>
      <x:c r="U1" s="18" t="str">
        <x:v>evidence_ref</x:v>
      </x:c>
    </x:row>
    <x:row r="2">
      <x:c r="A2" s="19" t="str">
        <x:v>D_clinician</x:v>
      </x:c>
      <x:c r="B2" s="19" t="str">
        <x:v>research_evidence_package_clinician_side_diagnostic_pain_points_2026-05-30.tar.gz</x:v>
      </x:c>
      <x:c r="C2" s="19" t="str">
        <x:v>Research D / clinician-side diagnostic pain points</x:v>
      </x:c>
      <x:c r="D2" s="19" t="str">
        <x:v>quote</x:v>
      </x:c>
      <x:c r="E2" s="19" t="str">
        <x:v>Q001</x:v>
      </x:c>
      <x:c r="F2" s="19" t="str">
        <x:v>S002</x:v>
      </x:c>
      <x:c r="G2" s="19" t="str">
        <x:v>Improving Diagnosis in Health Care</x:v>
      </x:c>
      <x:c r="H2" s="19" t="str">
        <x:v>https://www.nationalacademies.org/read/21794/chapter/1</x:v>
      </x:c>
      <x:c r="I2" s="19" t="str">
        <x:v>United States</x:v>
      </x:c>
      <x:c r="J2" s="19" t="str">
        <x:v>all settings</x:v>
      </x:c>
      <x:c r="K2" s="19" t="str">
        <x:v>diagnostic process</x:v>
      </x:c>
      <x:c r="L2" s="19" t="str"/>
      <x:c r="M2" s="19" t="str">
        <x:v>diagnostic process</x:v>
      </x:c>
      <x:c r="N2" s="19" t="str">
        <x:v>Diagnosis is a collaborative effort.</x:v>
      </x:c>
      <x:c r="O2" s="19" t="str">
        <x:v>Supports tools that connect clinicians, patients, labs, radiology, and follow-up owners.</x:v>
      </x:c>
      <x:c r="P2" s="19" t="str"/>
      <x:c r="Q2" s="19" t="str"/>
      <x:c r="R2" s="19" t="str"/>
      <x:c r="S2" s="19" t="str">
        <x:v>high</x:v>
      </x:c>
      <x:c r="T2" s="19" t="str">
        <x:v>02_extracted_evidence/quotes.csv</x:v>
      </x:c>
      <x:c r="U2" s="19" t="str">
        <x:v>research_evidence_package_clinician_side_diagnostic_pain_points_2026-05-30.tar.gz::02_extracted_evidence/quotes.csv::Q001</x:v>
      </x:c>
    </x:row>
    <x:row r="3">
      <x:c r="A3" s="19" t="str">
        <x:v>D_clinician</x:v>
      </x:c>
      <x:c r="B3" s="19" t="str">
        <x:v>research_evidence_package_clinician_side_diagnostic_pain_points_2026-05-30.tar.gz</x:v>
      </x:c>
      <x:c r="C3" s="19" t="str">
        <x:v>Research D / clinician-side diagnostic pain points</x:v>
      </x:c>
      <x:c r="D3" s="19" t="str">
        <x:v>quote</x:v>
      </x:c>
      <x:c r="E3" s="19" t="str">
        <x:v>Q002</x:v>
      </x:c>
      <x:c r="F3" s="19" t="str">
        <x:v>S002</x:v>
      </x:c>
      <x:c r="G3" s="19" t="str">
        <x:v>Improving Diagnosis in Health Care</x:v>
      </x:c>
      <x:c r="H3" s="19" t="str">
        <x:v>https://www.nationalacademies.org/read/21794/chapter/1</x:v>
      </x:c>
      <x:c r="I3" s="19" t="str">
        <x:v>United States</x:v>
      </x:c>
      <x:c r="J3" s="19" t="str">
        <x:v>EHR-mediated care</x:v>
      </x:c>
      <x:c r="K3" s="19" t="str">
        <x:v>health IT</x:v>
      </x:c>
      <x:c r="L3" s="19" t="str"/>
      <x:c r="M3" s="19" t="str">
        <x:v>health IT</x:v>
      </x:c>
      <x:c r="N3" s="19" t="str">
        <x:v>Health information technology…is often a barrier.</x:v>
      </x:c>
      <x:c r="O3" s="19" t="str">
        <x:v>Supports designing tools that reduce cognitive load rather than add new screens.</x:v>
      </x:c>
      <x:c r="P3" s="19" t="str"/>
      <x:c r="Q3" s="19" t="str"/>
      <x:c r="R3" s="19" t="str"/>
      <x:c r="S3" s="19" t="str">
        <x:v>high</x:v>
      </x:c>
      <x:c r="T3" s="19" t="str">
        <x:v>02_extracted_evidence/quotes.csv</x:v>
      </x:c>
      <x:c r="U3" s="19" t="str">
        <x:v>research_evidence_package_clinician_side_diagnostic_pain_points_2026-05-30.tar.gz::02_extracted_evidence/quotes.csv::Q002</x:v>
      </x:c>
    </x:row>
    <x:row r="4">
      <x:c r="A4" s="19" t="str">
        <x:v>D_clinician</x:v>
      </x:c>
      <x:c r="B4" s="19" t="str">
        <x:v>research_evidence_package_clinician_side_diagnostic_pain_points_2026-05-30.tar.gz</x:v>
      </x:c>
      <x:c r="C4" s="19" t="str">
        <x:v>Research D / clinician-side diagnostic pain points</x:v>
      </x:c>
      <x:c r="D4" s="19" t="str">
        <x:v>quote</x:v>
      </x:c>
      <x:c r="E4" s="19" t="str">
        <x:v>Q003</x:v>
      </x:c>
      <x:c r="F4" s="19" t="str">
        <x:v>S005</x:v>
      </x:c>
      <x:c r="G4" s="19" t="str">
        <x:v>Information Overload and Missed Test Results in Electronic Health Record-Based Settings</x:v>
      </x:c>
      <x:c r="H4" s="19" t="str">
        <x:v>https://jamanetwork.com/journals/jamainternalmedicine/fullarticle/1657753</x:v>
      </x:c>
      <x:c r="I4" s="19" t="str">
        <x:v>United States</x:v>
      </x:c>
      <x:c r="J4" s="19" t="str">
        <x:v>VA primary care</x:v>
      </x:c>
      <x:c r="K4" s="19" t="str">
        <x:v>alert fatigue</x:v>
      </x:c>
      <x:c r="L4" s="19" t="str"/>
      <x:c r="M4" s="19" t="str">
        <x:v>alert fatigue</x:v>
      </x:c>
      <x:c r="N4" s="19" t="str">
        <x:v>More alerts than they could effectively manage.</x:v>
      </x:c>
      <x:c r="O4" s="19" t="str">
        <x:v>Shows that alert streams can become a diagnostic black zone.</x:v>
      </x:c>
      <x:c r="P4" s="19" t="str"/>
      <x:c r="Q4" s="19" t="str"/>
      <x:c r="R4" s="19" t="str"/>
      <x:c r="S4" s="19" t="str">
        <x:v>high</x:v>
      </x:c>
      <x:c r="T4" s="19" t="str">
        <x:v>02_extracted_evidence/quotes.csv</x:v>
      </x:c>
      <x:c r="U4" s="19" t="str">
        <x:v>research_evidence_package_clinician_side_diagnostic_pain_points_2026-05-30.tar.gz::02_extracted_evidence/quotes.csv::Q003</x:v>
      </x:c>
    </x:row>
    <x:row r="5">
      <x:c r="A5" s="19" t="str">
        <x:v>D_clinician</x:v>
      </x:c>
      <x:c r="B5" s="19" t="str">
        <x:v>research_evidence_package_clinician_side_diagnostic_pain_points_2026-05-30.tar.gz</x:v>
      </x:c>
      <x:c r="C5" s="19" t="str">
        <x:v>Research D / clinician-side diagnostic pain points</x:v>
      </x:c>
      <x:c r="D5" s="19" t="str">
        <x:v>quote</x:v>
      </x:c>
      <x:c r="E5" s="19" t="str">
        <x:v>Q004</x:v>
      </x:c>
      <x:c r="F5" s="19" t="str">
        <x:v>S008</x:v>
      </x:c>
      <x:c r="G5" s="19" t="str">
        <x:v>Diagnostic uncertainty in real-world primary care consultations</x:v>
      </x:c>
      <x:c r="H5" s="19" t="str">
        <x:v>https://link.springer.com/article/10.1186/s12875-024-02526-x</x:v>
      </x:c>
      <x:c r="I5" s="19" t="str">
        <x:v>United States</x:v>
      </x:c>
      <x:c r="J5" s="19" t="str">
        <x:v>primary care</x:v>
      </x:c>
      <x:c r="K5" s="19" t="str">
        <x:v>time pressure</x:v>
      </x:c>
      <x:c r="L5" s="19" t="str"/>
      <x:c r="M5" s="19" t="str">
        <x:v>time pressure</x:v>
      </x:c>
      <x:c r="N5" s="19" t="str">
        <x:v>Good care is slow enough to be able to pay attention.</x:v>
      </x:c>
      <x:c r="O5" s="19" t="str">
        <x:v>Highlights conflict between speed and careful diagnosis.</x:v>
      </x:c>
      <x:c r="P5" s="19" t="str"/>
      <x:c r="Q5" s="19" t="str"/>
      <x:c r="R5" s="19" t="str"/>
      <x:c r="S5" s="19" t="str">
        <x:v>medium-high</x:v>
      </x:c>
      <x:c r="T5" s="19" t="str">
        <x:v>02_extracted_evidence/quotes.csv</x:v>
      </x:c>
      <x:c r="U5" s="19" t="str">
        <x:v>research_evidence_package_clinician_side_diagnostic_pain_points_2026-05-30.tar.gz::02_extracted_evidence/quotes.csv::Q004</x:v>
      </x:c>
    </x:row>
    <x:row r="6">
      <x:c r="A6" s="19" t="str">
        <x:v>D_clinician</x:v>
      </x:c>
      <x:c r="B6" s="19" t="str">
        <x:v>research_evidence_package_clinician_side_diagnostic_pain_points_2026-05-30.tar.gz</x:v>
      </x:c>
      <x:c r="C6" s="19" t="str">
        <x:v>Research D / clinician-side diagnostic pain points</x:v>
      </x:c>
      <x:c r="D6" s="19" t="str">
        <x:v>quote</x:v>
      </x:c>
      <x:c r="E6" s="19" t="str">
        <x:v>Q005</x:v>
      </x:c>
      <x:c r="F6" s="19" t="str">
        <x:v>S010</x:v>
      </x:c>
      <x:c r="G6" s="19" t="str">
        <x:v>Workforce and patient safety: online consultation tools in general practice</x:v>
      </x:c>
      <x:c r="H6" s="19" t="str">
        <x:v>https://www.hssib.org.uk/patient-safety-investigations/workforce-and-patient-safety/second-investigation-report/</x:v>
      </x:c>
      <x:c r="I6" s="19" t="str">
        <x:v>England</x:v>
      </x:c>
      <x:c r="J6" s="19" t="str">
        <x:v>online GP intake</x:v>
      </x:c>
      <x:c r="K6" s="19" t="str">
        <x:v>digital intake</x:v>
      </x:c>
      <x:c r="L6" s="19" t="str"/>
      <x:c r="M6" s="19" t="str">
        <x:v>digital intake</x:v>
      </x:c>
      <x:c r="N6" s="19" t="str">
        <x:v>Algorithms that go down single symptom routes miss the complexity of general practice and mean the dots can’t be joined up.</x:v>
      </x:c>
      <x:c r="O6" s="19" t="str">
        <x:v>Shows danger of over-structured digital triage for complex stories.</x:v>
      </x:c>
      <x:c r="P6" s="19" t="str"/>
      <x:c r="Q6" s="19" t="str"/>
      <x:c r="R6" s="19" t="str"/>
      <x:c r="S6" s="19" t="str">
        <x:v>high</x:v>
      </x:c>
      <x:c r="T6" s="19" t="str">
        <x:v>02_extracted_evidence/quotes.csv</x:v>
      </x:c>
      <x:c r="U6" s="19" t="str">
        <x:v>research_evidence_package_clinician_side_diagnostic_pain_points_2026-05-30.tar.gz::02_extracted_evidence/quotes.csv::Q005</x:v>
      </x:c>
    </x:row>
    <x:row r="7">
      <x:c r="A7" s="19" t="str">
        <x:v>D_clinician</x:v>
      </x:c>
      <x:c r="B7" s="19" t="str">
        <x:v>research_evidence_package_clinician_side_diagnostic_pain_points_2026-05-30.tar.gz</x:v>
      </x:c>
      <x:c r="C7" s="19" t="str">
        <x:v>Research D / clinician-side diagnostic pain points</x:v>
      </x:c>
      <x:c r="D7" s="19" t="str">
        <x:v>quote</x:v>
      </x:c>
      <x:c r="E7" s="19" t="str">
        <x:v>Q006</x:v>
      </x:c>
      <x:c r="F7" s="19" t="str">
        <x:v>S010</x:v>
      </x:c>
      <x:c r="G7" s="19" t="str">
        <x:v>Workforce and patient safety: online consultation tools in general practice</x:v>
      </x:c>
      <x:c r="H7" s="19" t="str">
        <x:v>https://www.hssib.org.uk/patient-safety-investigations/workforce-and-patient-safety/second-investigation-report/</x:v>
      </x:c>
      <x:c r="I7" s="19" t="str">
        <x:v>England</x:v>
      </x:c>
      <x:c r="J7" s="19" t="str">
        <x:v>online GP consultation</x:v>
      </x:c>
      <x:c r="K7" s="19" t="str">
        <x:v>triage safety</x:v>
      </x:c>
      <x:c r="L7" s="19" t="str"/>
      <x:c r="M7" s="19" t="str">
        <x:v>triage safety</x:v>
      </x:c>
      <x:c r="N7" s="19" t="str">
        <x:v>Err on the side of caution.</x:v>
      </x:c>
      <x:c r="O7" s="19" t="str">
        <x:v>Shows safety may depend on clinician caution instead of tool design.</x:v>
      </x:c>
      <x:c r="P7" s="19" t="str"/>
      <x:c r="Q7" s="19" t="str"/>
      <x:c r="R7" s="19" t="str"/>
      <x:c r="S7" s="19" t="str">
        <x:v>high</x:v>
      </x:c>
      <x:c r="T7" s="19" t="str">
        <x:v>02_extracted_evidence/quotes.csv</x:v>
      </x:c>
      <x:c r="U7" s="19" t="str">
        <x:v>research_evidence_package_clinician_side_diagnostic_pain_points_2026-05-30.tar.gz::02_extracted_evidence/quotes.csv::Q006</x:v>
      </x:c>
    </x:row>
    <x:row r="8">
      <x:c r="A8" s="19" t="str">
        <x:v>D_clinician</x:v>
      </x:c>
      <x:c r="B8" s="19" t="str">
        <x:v>research_evidence_package_clinician_side_diagnostic_pain_points_2026-05-30.tar.gz</x:v>
      </x:c>
      <x:c r="C8" s="19" t="str">
        <x:v>Research D / clinician-side diagnostic pain points</x:v>
      </x:c>
      <x:c r="D8" s="19" t="str">
        <x:v>quote</x:v>
      </x:c>
      <x:c r="E8" s="19" t="str">
        <x:v>Q007</x:v>
      </x:c>
      <x:c r="F8" s="19" t="str">
        <x:v>S014</x:v>
      </x:c>
      <x:c r="G8" s="19" t="str">
        <x:v>It is the patient that suffers from poor communication: communication barriers during nurse handovers in Ghanaian hospitals</x:v>
      </x:c>
      <x:c r="H8" s="19" t="str">
        <x:v>https://www.sciencedirect.com/science/article/pii/S266732152400091X</x:v>
      </x:c>
      <x:c r="I8" s="19" t="str">
        <x:v>Ghana</x:v>
      </x:c>
      <x:c r="J8" s="19" t="str">
        <x:v>hospital handover</x:v>
      </x:c>
      <x:c r="K8" s="19" t="str">
        <x:v>handoff</x:v>
      </x:c>
      <x:c r="L8" s="19" t="str"/>
      <x:c r="M8" s="19" t="str">
        <x:v>handoff</x:v>
      </x:c>
      <x:c r="N8" s="19" t="str">
        <x:v>It’s the patient that suffers from poor communication.</x:v>
      </x:c>
      <x:c r="O8" s="19" t="str">
        <x:v>Connects staff communication barriers to patient harm.</x:v>
      </x:c>
      <x:c r="P8" s="19" t="str"/>
      <x:c r="Q8" s="19" t="str"/>
      <x:c r="R8" s="19" t="str"/>
      <x:c r="S8" s="19" t="str">
        <x:v>medium</x:v>
      </x:c>
      <x:c r="T8" s="19" t="str">
        <x:v>02_extracted_evidence/quotes.csv</x:v>
      </x:c>
      <x:c r="U8" s="19" t="str">
        <x:v>research_evidence_package_clinician_side_diagnostic_pain_points_2026-05-30.tar.gz::02_extracted_evidence/quotes.csv::Q007</x:v>
      </x:c>
    </x:row>
    <x:row r="9">
      <x:c r="A9" s="19" t="str">
        <x:v>D_clinician</x:v>
      </x:c>
      <x:c r="B9" s="19" t="str">
        <x:v>research_evidence_package_clinician_side_diagnostic_pain_points_2026-05-30.tar.gz</x:v>
      </x:c>
      <x:c r="C9" s="19" t="str">
        <x:v>Research D / clinician-side diagnostic pain points</x:v>
      </x:c>
      <x:c r="D9" s="19" t="str">
        <x:v>quote</x:v>
      </x:c>
      <x:c r="E9" s="19" t="str">
        <x:v>Q008</x:v>
      </x:c>
      <x:c r="F9" s="19" t="str">
        <x:v>S011</x:v>
      </x:c>
      <x:c r="G9" s="19" t="str">
        <x:v>The impact of staff fatigue on patient safety</x:v>
      </x:c>
      <x:c r="H9" s="19" t="str">
        <x:v>https://www.hssib.org.uk/patient-safety-investigations/the-impact-of-staff-fatigue-on-patient-safety/investigation-report/</x:v>
      </x:c>
      <x:c r="I9" s="19" t="str">
        <x:v>England</x:v>
      </x:c>
      <x:c r="J9" s="19" t="str">
        <x:v>acute hospitals</x:v>
      </x:c>
      <x:c r="K9" s="19" t="str">
        <x:v>fatigue</x:v>
      </x:c>
      <x:c r="L9" s="19" t="str"/>
      <x:c r="M9" s="19" t="str">
        <x:v>fatigue</x:v>
      </x:c>
      <x:c r="N9" s="19" t="str">
        <x:v>We are not only risking patient safety, but staff retention…</x:v>
      </x:c>
      <x:c r="O9" s="19" t="str">
        <x:v>Links fatigue to both safety and workforce sustainability.</x:v>
      </x:c>
      <x:c r="P9" s="19" t="str"/>
      <x:c r="Q9" s="19" t="str"/>
      <x:c r="R9" s="19" t="str"/>
      <x:c r="S9" s="19" t="str">
        <x:v>high</x:v>
      </x:c>
      <x:c r="T9" s="19" t="str">
        <x:v>02_extracted_evidence/quotes.csv</x:v>
      </x:c>
      <x:c r="U9" s="19" t="str">
        <x:v>research_evidence_package_clinician_side_diagnostic_pain_points_2026-05-30.tar.gz::02_extracted_evidence/quotes.csv::Q008</x:v>
      </x:c>
    </x:row>
    <x:row r="10">
      <x:c r="A10" s="19" t="str">
        <x:v>D_clinician</x:v>
      </x:c>
      <x:c r="B10" s="19" t="str">
        <x:v>research_evidence_package_clinician_side_diagnostic_pain_points_2026-05-30.tar.gz</x:v>
      </x:c>
      <x:c r="C10" s="19" t="str">
        <x:v>Research D / clinician-side diagnostic pain points</x:v>
      </x:c>
      <x:c r="D10" s="19" t="str">
        <x:v>quote</x:v>
      </x:c>
      <x:c r="E10" s="19" t="str">
        <x:v>Q009</x:v>
      </x:c>
      <x:c r="F10" s="19" t="str">
        <x:v>S011</x:v>
      </x:c>
      <x:c r="G10" s="19" t="str">
        <x:v>The impact of staff fatigue on patient safety</x:v>
      </x:c>
      <x:c r="H10" s="19" t="str">
        <x:v>https://www.hssib.org.uk/patient-safety-investigations/the-impact-of-staff-fatigue-on-patient-safety/investigation-report/</x:v>
      </x:c>
      <x:c r="I10" s="19" t="str">
        <x:v>England</x:v>
      </x:c>
      <x:c r="J10" s="19" t="str">
        <x:v>acute hospitals</x:v>
      </x:c>
      <x:c r="K10" s="19" t="str">
        <x:v>fatigue</x:v>
      </x:c>
      <x:c r="L10" s="19" t="str"/>
      <x:c r="M10" s="19" t="str">
        <x:v>fatigue</x:v>
      </x:c>
      <x:c r="N10" s="19" t="str">
        <x:v>I can’t remember how I got home.</x:v>
      </x:c>
      <x:c r="O10" s="19" t="str">
        <x:v>Shows severity of fatigue beyond abstract workload metrics.</x:v>
      </x:c>
      <x:c r="P10" s="19" t="str"/>
      <x:c r="Q10" s="19" t="str"/>
      <x:c r="R10" s="19" t="str"/>
      <x:c r="S10" s="19" t="str">
        <x:v>high</x:v>
      </x:c>
      <x:c r="T10" s="19" t="str">
        <x:v>02_extracted_evidence/quotes.csv</x:v>
      </x:c>
      <x:c r="U10" s="19" t="str">
        <x:v>research_evidence_package_clinician_side_diagnostic_pain_points_2026-05-30.tar.gz::02_extracted_evidence/quotes.csv::Q009</x:v>
      </x:c>
    </x:row>
    <x:row r="11">
      <x:c r="A11" s="19" t="str">
        <x:v>D_clinician</x:v>
      </x:c>
      <x:c r="B11" s="19" t="str">
        <x:v>research_evidence_package_clinician_side_diagnostic_pain_points_2026-05-30.tar.gz</x:v>
      </x:c>
      <x:c r="C11" s="19" t="str">
        <x:v>Research D / clinician-side diagnostic pain points</x:v>
      </x:c>
      <x:c r="D11" s="19" t="str">
        <x:v>quote</x:v>
      </x:c>
      <x:c r="E11" s="19" t="str">
        <x:v>Q010</x:v>
      </x:c>
      <x:c r="F11" s="19" t="str">
        <x:v>S015</x:v>
      </x:c>
      <x:c r="G11" s="19" t="str">
        <x:v>Assessments Under Pressure: Interviews With Triage Nurses in Emergency Care</x:v>
      </x:c>
      <x:c r="H11" s="19" t="str">
        <x:v>https://research-portal.uea.ac.uk/en/publications/assessments-under-pressure-interviews-with-triage-nurses-in-emerg/</x:v>
      </x:c>
      <x:c r="I11" s="19" t="str">
        <x:v>United Kingdom</x:v>
      </x:c>
      <x:c r="J11" s="19" t="str">
        <x:v>ED triage</x:v>
      </x:c>
      <x:c r="K11" s="19" t="str">
        <x:v>triage overload</x:v>
      </x:c>
      <x:c r="L11" s="19" t="str"/>
      <x:c r="M11" s="19" t="str">
        <x:v>triage overload</x:v>
      </x:c>
      <x:c r="N11" s="19" t="str">
        <x:v>substantial cognitive and emotional strain.</x:v>
      </x:c>
      <x:c r="O11" s="19" t="str">
        <x:v>Shows triage is cognitively and emotionally demanding.</x:v>
      </x:c>
      <x:c r="P11" s="19" t="str"/>
      <x:c r="Q11" s="19" t="str"/>
      <x:c r="R11" s="19" t="str"/>
      <x:c r="S11" s="19" t="str">
        <x:v>medium</x:v>
      </x:c>
      <x:c r="T11" s="19" t="str">
        <x:v>02_extracted_evidence/quotes.csv</x:v>
      </x:c>
      <x:c r="U11" s="19" t="str">
        <x:v>research_evidence_package_clinician_side_diagnostic_pain_points_2026-05-30.tar.gz::02_extracted_evidence/quotes.csv::Q010</x:v>
      </x:c>
    </x:row>
    <x:row r="12">
      <x:c r="A12" s="19" t="str">
        <x:v>D_clinician</x:v>
      </x:c>
      <x:c r="B12" s="19" t="str">
        <x:v>research_evidence_package_clinician_side_diagnostic_pain_points_2026-05-30.tar.gz</x:v>
      </x:c>
      <x:c r="C12" s="19" t="str">
        <x:v>Research D / clinician-side diagnostic pain points</x:v>
      </x:c>
      <x:c r="D12" s="19" t="str">
        <x:v>quote</x:v>
      </x:c>
      <x:c r="E12" s="19" t="str">
        <x:v>Q011</x:v>
      </x:c>
      <x:c r="F12" s="19" t="str">
        <x:v>S024</x:v>
      </x:c>
      <x:c r="G12" s="19" t="str">
        <x:v>KevinMD emergency diagnostic-error podcast / clinician commentary</x:v>
      </x:c>
      <x:c r="H12" s="19" t="str">
        <x:v>https://www.kevinmd.com/2025/04/how-to-reduce-diagnostic-error-in-the-emergency-department-podcast.html</x:v>
      </x:c>
      <x:c r="I12" s="19" t="str">
        <x:v>United States</x:v>
      </x:c>
      <x:c r="J12" s="19" t="str">
        <x:v>emergency department</x:v>
      </x:c>
      <x:c r="K12" s="19" t="str">
        <x:v>workflow visibility</x:v>
      </x:c>
      <x:c r="L12" s="19" t="str"/>
      <x:c r="M12" s="19" t="str">
        <x:v>workflow visibility</x:v>
      </x:c>
      <x:c r="N12" s="19" t="str">
        <x:v>Follow me around for a shift; see what my screen looks like.</x:v>
      </x:c>
      <x:c r="O12" s="19" t="str">
        <x:v>Supports field observation and screen-level design.</x:v>
      </x:c>
      <x:c r="P12" s="19" t="str"/>
      <x:c r="Q12" s="19" t="str"/>
      <x:c r="R12" s="19" t="str"/>
      <x:c r="S12" s="19" t="str">
        <x:v>low-medium</x:v>
      </x:c>
      <x:c r="T12" s="19" t="str">
        <x:v>02_extracted_evidence/quotes.csv</x:v>
      </x:c>
      <x:c r="U12" s="19" t="str">
        <x:v>research_evidence_package_clinician_side_diagnostic_pain_points_2026-05-30.tar.gz::02_extracted_evidence/quotes.csv::Q011</x:v>
      </x:c>
    </x:row>
    <x:row r="13">
      <x:c r="A13" s="19" t="str">
        <x:v>D_clinician</x:v>
      </x:c>
      <x:c r="B13" s="19" t="str">
        <x:v>research_evidence_package_clinician_side_diagnostic_pain_points_2026-05-30.tar.gz</x:v>
      </x:c>
      <x:c r="C13" s="19" t="str">
        <x:v>Research D / clinician-side diagnostic pain points</x:v>
      </x:c>
      <x:c r="D13" s="19" t="str">
        <x:v>quote</x:v>
      </x:c>
      <x:c r="E13" s="19" t="str">
        <x:v>Q012</x:v>
      </x:c>
      <x:c r="F13" s="19" t="str">
        <x:v>S020</x:v>
      </x:c>
      <x:c r="G13" s="19" t="str">
        <x:v>The influence of difficult patient behaviour on physicians’ diagnostic performance</x:v>
      </x:c>
      <x:c r="H13" s="19" t="str">
        <x:v>https://qualitysafety.bmj.com/content/26/1/13</x:v>
      </x:c>
      <x:c r="I13" s="19" t="str">
        <x:v>Netherlands</x:v>
      </x:c>
      <x:c r="J13" s="19" t="str">
        <x:v>diagnostic reasoning experiments</x:v>
      </x:c>
      <x:c r="K13" s="19" t="str">
        <x:v>bias</x:v>
      </x:c>
      <x:c r="L13" s="19" t="str"/>
      <x:c r="M13" s="19" t="str">
        <x:v>bias</x:v>
      </x:c>
      <x:c r="N13" s="19" t="str">
        <x:v>Difficult patients may negatively affect doctors’ diagnostic reasoning.</x:v>
      </x:c>
      <x:c r="O13" s="19" t="str">
        <x:v>Shows emotional/cognitive bias can affect diagnostic accuracy.</x:v>
      </x:c>
      <x:c r="P13" s="19" t="str"/>
      <x:c r="Q13" s="19" t="str"/>
      <x:c r="R13" s="19" t="str"/>
      <x:c r="S13" s="19" t="str">
        <x:v>medium</x:v>
      </x:c>
      <x:c r="T13" s="19" t="str">
        <x:v>02_extracted_evidence/quotes.csv</x:v>
      </x:c>
      <x:c r="U13" s="19" t="str">
        <x:v>research_evidence_package_clinician_side_diagnostic_pain_points_2026-05-30.tar.gz::02_extracted_evidence/quotes.csv::Q012</x:v>
      </x:c>
    </x:row>
    <x:row r="14">
      <x:c r="A14" s="19" t="str">
        <x:v>D_clinician</x:v>
      </x:c>
      <x:c r="B14" s="19" t="str">
        <x:v>research_evidence_package_clinician_side_diagnostic_pain_points_2026-05-30.tar.gz</x:v>
      </x:c>
      <x:c r="C14" s="19" t="str">
        <x:v>Research D / clinician-side diagnostic pain points</x:v>
      </x:c>
      <x:c r="D14" s="19" t="str">
        <x:v>quote</x:v>
      </x:c>
      <x:c r="E14" s="19" t="str">
        <x:v>Q013</x:v>
      </x:c>
      <x:c r="F14" s="19" t="str">
        <x:v>S021</x:v>
      </x:c>
      <x:c r="G14" s="19" t="str">
        <x:v>Diagnostic overshadowing in emergency departments</x:v>
      </x:c>
      <x:c r="H14" s="19" t="str">
        <x:v>https://journals.plos.org/plosone/article?id=10.1371%2Fjournal.pone.0111682</x:v>
      </x:c>
      <x:c r="I14" s="19" t="str">
        <x:v>United Kingdom</x:v>
      </x:c>
      <x:c r="J14" s="19" t="str">
        <x:v>ED / psychiatric liaison</x:v>
      </x:c>
      <x:c r="K14" s="19" t="str">
        <x:v>diagnostic overshadowing</x:v>
      </x:c>
      <x:c r="L14" s="19" t="str"/>
      <x:c r="M14" s="19" t="str">
        <x:v>diagnostic overshadowing</x:v>
      </x:c>
      <x:c r="N14" s="19" t="str">
        <x:v>Diagnostic overshadowing is the misattribution of physical symptoms to mental illness.</x:v>
      </x:c>
      <x:c r="O14" s="19" t="str">
        <x:v>Keeps physical red flags visible in mental-health presentations.</x:v>
      </x:c>
      <x:c r="P14" s="19" t="str"/>
      <x:c r="Q14" s="19" t="str"/>
      <x:c r="R14" s="19" t="str"/>
      <x:c r="S14" s="19" t="str">
        <x:v>medium</x:v>
      </x:c>
      <x:c r="T14" s="19" t="str">
        <x:v>02_extracted_evidence/quotes.csv</x:v>
      </x:c>
      <x:c r="U14" s="19" t="str">
        <x:v>research_evidence_package_clinician_side_diagnostic_pain_points_2026-05-30.tar.gz::02_extracted_evidence/quotes.csv::Q013</x:v>
      </x:c>
    </x:row>
    <x:row r="15">
      <x:c r="A15" s="19" t="str">
        <x:v>E_global</x:v>
      </x:c>
      <x:c r="B15" s="19" t="str">
        <x:v>research_evidence_package_global_health_issue_identification_2026-05-30.tar.gz</x:v>
      </x:c>
      <x:c r="C15" s="19" t="str">
        <x:v>Research E / global health issue identification</x:v>
      </x:c>
      <x:c r="D15" s="19" t="str">
        <x:v>quote</x:v>
      </x:c>
      <x:c r="E15" s="19" t="str">
        <x:v>Q001</x:v>
      </x:c>
      <x:c r="F15" s="19" t="str">
        <x:v>S005</x:v>
      </x:c>
      <x:c r="G15" s="19" t="str">
        <x:v>Continuity of care: delayed diagnosis in GP practices</x:v>
      </x:c>
      <x:c r="H15" s="19" t="str">
        <x:v>https://www.hssib.org.uk/patient-safety-investigations/continuity-of-care-delayed-diagnosis-in-gp-practices/investigation-report/</x:v>
      </x:c>
      <x:c r="I15" s="19" t="str">
        <x:v>England</x:v>
      </x:c>
      <x:c r="J15" s="19" t="str">
        <x:v>primary care / GP</x:v>
      </x:c>
      <x:c r="K15" s="19" t="str">
        <x:v>continuity failure</x:v>
      </x:c>
      <x:c r="L15" s="19" t="str"/>
      <x:c r="M15" s="19" t="str">
        <x:v>continuity failure</x:v>
      </x:c>
      <x:c r="N15" s="19" t="str">
        <x:v>re-tell</x:v>
      </x:c>
      <x:c r="O15" s="19" t="str">
        <x:v>Shows patient voice around repeated-history burden.</x:v>
      </x:c>
      <x:c r="P15" s="19" t="str"/>
      <x:c r="Q15" s="19" t="str"/>
      <x:c r="R15" s="19" t="str"/>
      <x:c r="S15" s="19" t="str">
        <x:v>high</x:v>
      </x:c>
      <x:c r="T15" s="19" t="str">
        <x:v>02_extracted_evidence/quotes.csv</x:v>
      </x:c>
      <x:c r="U15" s="19" t="str">
        <x:v>research_evidence_package_global_health_issue_identification_2026-05-30.tar.gz::02_extracted_evidence/quotes.csv::Q001</x:v>
      </x:c>
    </x:row>
    <x:row r="16">
      <x:c r="A16" s="19" t="str">
        <x:v>E_global</x:v>
      </x:c>
      <x:c r="B16" s="19" t="str">
        <x:v>research_evidence_package_global_health_issue_identification_2026-05-30.tar.gz</x:v>
      </x:c>
      <x:c r="C16" s="19" t="str">
        <x:v>Research E / global health issue identification</x:v>
      </x:c>
      <x:c r="D16" s="19" t="str">
        <x:v>quote</x:v>
      </x:c>
      <x:c r="E16" s="19" t="str">
        <x:v>Q002</x:v>
      </x:c>
      <x:c r="F16" s="19" t="str">
        <x:v>S006</x:v>
      </x:c>
      <x:c r="G16" s="19" t="str">
        <x:v>Patients being harmed due to repeated mistakes reading scans</x:v>
      </x:c>
      <x:c r="H16" s="19" t="str">
        <x:v>https://www.ombudsman.org.uk/news-and-blog/news/patients-being-harmed-due-repeated-mistakes-reading-scans</x:v>
      </x:c>
      <x:c r="I16" s="19" t="str">
        <x:v>UK</x:v>
      </x:c>
      <x:c r="J16" s="19" t="str">
        <x:v>imaging / hospital</x:v>
      </x:c>
      <x:c r="K16" s="19" t="str">
        <x:v>doctor did not listen</x:v>
      </x:c>
      <x:c r="L16" s="19" t="str"/>
      <x:c r="M16" s="19" t="str">
        <x:v>doctor did not listen</x:v>
      </x:c>
      <x:c r="N16" s="19" t="str">
        <x:v>tried to get doctors to listen</x:v>
      </x:c>
      <x:c r="O16" s="19" t="str">
        <x:v>Shows communication/listening failure around missed imaging diagnosis.</x:v>
      </x:c>
      <x:c r="P16" s="19" t="str"/>
      <x:c r="Q16" s="19" t="str"/>
      <x:c r="R16" s="19" t="str"/>
      <x:c r="S16" s="19" t="str">
        <x:v>high</x:v>
      </x:c>
      <x:c r="T16" s="19" t="str">
        <x:v>02_extracted_evidence/quotes.csv</x:v>
      </x:c>
      <x:c r="U16" s="19" t="str">
        <x:v>research_evidence_package_global_health_issue_identification_2026-05-30.tar.gz::02_extracted_evidence/quotes.csv::Q002</x:v>
      </x:c>
    </x:row>
    <x:row r="17">
      <x:c r="A17" s="19" t="str">
        <x:v>E_global</x:v>
      </x:c>
      <x:c r="B17" s="19" t="str">
        <x:v>research_evidence_package_global_health_issue_identification_2026-05-30.tar.gz</x:v>
      </x:c>
      <x:c r="C17" s="19" t="str">
        <x:v>Research E / global health issue identification</x:v>
      </x:c>
      <x:c r="D17" s="19" t="str">
        <x:v>quote</x:v>
      </x:c>
      <x:c r="E17" s="19" t="str">
        <x:v>Q003</x:v>
      </x:c>
      <x:c r="F17" s="19" t="str">
        <x:v>S007</x:v>
      </x:c>
      <x:c r="G17" s="19" t="str">
        <x:v>More action on sepsis needed as NHS Ombudsman still seeing same failings a decade on</x:v>
      </x:c>
      <x:c r="H17" s="19" t="str">
        <x:v>https://www.ombudsman.org.uk/news-and-blog/news/more-action-sepsis-needed-nhs-ombudsman-still-seeing-same-failings-decade</x:v>
      </x:c>
      <x:c r="I17" s="19" t="str">
        <x:v>UK</x:v>
      </x:c>
      <x:c r="J17" s="19" t="str">
        <x:v>hospital / ED</x:v>
      </x:c>
      <x:c r="K17" s="19" t="str">
        <x:v>red flag missed</x:v>
      </x:c>
      <x:c r="L17" s="19" t="str"/>
      <x:c r="M17" s="19" t="str">
        <x:v>red flag missed</x:v>
      </x:c>
      <x:c r="N17" s="19" t="str">
        <x:v>recognized the signs</x:v>
      </x:c>
      <x:c r="O17" s="19" t="str">
        <x:v>Shows family perception that clinical red flags were visible but not acted on.</x:v>
      </x:c>
      <x:c r="P17" s="19" t="str"/>
      <x:c r="Q17" s="19" t="str"/>
      <x:c r="R17" s="19" t="str"/>
      <x:c r="S17" s="19" t="str">
        <x:v>high</x:v>
      </x:c>
      <x:c r="T17" s="19" t="str">
        <x:v>02_extracted_evidence/quotes.csv</x:v>
      </x:c>
      <x:c r="U17" s="19" t="str">
        <x:v>research_evidence_package_global_health_issue_identification_2026-05-30.tar.gz::02_extracted_evidence/quotes.csv::Q003</x:v>
      </x:c>
    </x:row>
    <x:row r="18">
      <x:c r="A18" s="19" t="str">
        <x:v>A_flows</x:v>
      </x:c>
      <x:c r="B18" s="19" t="str">
        <x:v>research_evidence_package_health_system_patient_flows_2026-05-30.tar.gz</x:v>
      </x:c>
      <x:c r="C18" s="19" t="str">
        <x:v>Research A / health-system patient flows</x:v>
      </x:c>
      <x:c r="D18" s="19" t="str">
        <x:v>quote</x:v>
      </x:c>
      <x:c r="E18" s="19" t="str">
        <x:v>Q001</x:v>
      </x:c>
      <x:c r="F18" s="19" t="str">
        <x:v>S20</x:v>
      </x:c>
      <x:c r="G18" s="19" t="str">
        <x:v>Continuity of care: delayed diagnosis in GP practices</x:v>
      </x:c>
      <x:c r="H18" s="19" t="str">
        <x:v>https://www.hssib.org.uk/patient-safety-investigations/continuity-of-care-delayed-diagnosis-in-gp-practices/investigation-report/pdf/</x:v>
      </x:c>
      <x:c r="I18" s="19" t="str">
        <x:v>England</x:v>
      </x:c>
      <x:c r="J18" s="19" t="str">
        <x:v>primary care</x:v>
      </x:c>
      <x:c r="K18" s="19" t="str">
        <x:v>fragmented care; no one connected the dots; missing family/history context; repeated visits ignored</x:v>
      </x:c>
      <x:c r="L18" s="19" t="str"/>
      <x:c r="M18" s="19" t="str">
        <x:v>fragmented care; no one connected the dots; missing family/history context; repeated visits ignored</x:v>
      </x:c>
      <x:c r="N18" s="19" t="str">
        <x:v>“no-one else should have to go through what I did”</x:v>
      </x:c>
      <x:c r="O18" s="19" t="str">
        <x:v>Surface unresolved symptom threads, prior high-risk history and multiple-clinician patterns in the EHR.</x:v>
      </x:c>
      <x:c r="P18" s="19" t="str"/>
      <x:c r="Q18" s="19" t="str"/>
      <x:c r="R18" s="19" t="str"/>
      <x:c r="S18" s="19" t="str">
        <x:v>high</x:v>
      </x:c>
      <x:c r="T18" s="19" t="str">
        <x:v>02_extracted_evidence/quotes.csv</x:v>
      </x:c>
      <x:c r="U18" s="19" t="str">
        <x:v>research_evidence_package_health_system_patient_flows_2026-05-30.tar.gz::02_extracted_evidence/quotes.csv::Q001</x:v>
      </x:c>
    </x:row>
    <x:row r="19">
      <x:c r="A19" s="19" t="str">
        <x:v>A_flows</x:v>
      </x:c>
      <x:c r="B19" s="19" t="str">
        <x:v>research_evidence_package_health_system_patient_flows_2026-05-30.tar.gz</x:v>
      </x:c>
      <x:c r="C19" s="19" t="str">
        <x:v>Research A / health-system patient flows</x:v>
      </x:c>
      <x:c r="D19" s="19" t="str">
        <x:v>quote</x:v>
      </x:c>
      <x:c r="E19" s="19" t="str">
        <x:v>Q002</x:v>
      </x:c>
      <x:c r="F19" s="19" t="str">
        <x:v>S22</x:v>
      </x:c>
      <x:c r="G19" s="19" t="str">
        <x:v>Years of being dismissed, ignored and belittled: Endometriosis UK diagnosis report</x:v>
      </x:c>
      <x:c r="H19" s="19" t="str">
        <x:v>https://www.endometriosis-uk.org/diagnosis-report</x:v>
      </x:c>
      <x:c r="I19" s="19" t="str">
        <x:v>UK</x:v>
      </x:c>
      <x:c r="J19" s="19" t="str">
        <x:v>primary care</x:v>
      </x:c>
      <x:c r="K19" s="19" t="str">
        <x:v>symptom dismissed; chronic illness invalidation; bias or minimization; patient self-advocacy required</x:v>
      </x:c>
      <x:c r="L19" s="19" t="str"/>
      <x:c r="M19" s="19" t="str">
        <x:v>symptom dismissed; chronic illness invalidation; bias or minimization; patient self-advocacy required</x:v>
      </x:c>
      <x:c r="N19" s="19" t="str">
        <x:v>“I was constantly dismissed, ignored and belittled”</x:v>
      </x:c>
      <x:c r="O19" s="19" t="str">
        <x:v>Track symptom duration/severity, repeated visits and invalidating language; prompt specialist referral criteria review.</x:v>
      </x:c>
      <x:c r="P19" s="19" t="str"/>
      <x:c r="Q19" s="19" t="str"/>
      <x:c r="R19" s="19" t="str"/>
      <x:c r="S19" s="19" t="str">
        <x:v>medium</x:v>
      </x:c>
      <x:c r="T19" s="19" t="str">
        <x:v>02_extracted_evidence/quotes.csv</x:v>
      </x:c>
      <x:c r="U19" s="19" t="str">
        <x:v>research_evidence_package_health_system_patient_flows_2026-05-30.tar.gz::02_extracted_evidence/quotes.csv::Q002</x:v>
      </x:c>
    </x:row>
    <x:row r="20">
      <x:c r="A20" s="19" t="str">
        <x:v>A_flows</x:v>
      </x:c>
      <x:c r="B20" s="19" t="str">
        <x:v>research_evidence_package_health_system_patient_flows_2026-05-30.tar.gz</x:v>
      </x:c>
      <x:c r="C20" s="19" t="str">
        <x:v>Research A / health-system patient flows</x:v>
      </x:c>
      <x:c r="D20" s="19" t="str">
        <x:v>quote</x:v>
      </x:c>
      <x:c r="E20" s="19" t="str">
        <x:v>Q003</x:v>
      </x:c>
      <x:c r="F20" s="19" t="str">
        <x:v>S23</x:v>
      </x:c>
      <x:c r="G20" s="19" t="str">
        <x:v>The impact of waiting for care</x:v>
      </x:c>
      <x:c r="H20" s="19" t="str">
        <x:v>https://www.healthwatch.co.uk/report/2023-10-03/impact-waiting-care</x:v>
      </x:c>
      <x:c r="I20" s="19" t="str">
        <x:v>England</x:v>
      </x:c>
      <x:c r="J20" s="19" t="str">
        <x:v>primary care / specialist referral</x:v>
      </x:c>
      <x:c r="K20" s="19" t="str">
        <x:v>referral delay; no follow-up ownership; patient self-advocacy required</x:v>
      </x:c>
      <x:c r="L20" s="19" t="str"/>
      <x:c r="M20" s="19" t="str">
        <x:v>referral delay; no follow-up ownership; patient self-advocacy required</x:v>
      </x:c>
      <x:c r="N20" s="19" t="str">
        <x:v>“severe pain, immobile and very frustrated”</x:v>
      </x:c>
      <x:c r="O20" s="19" t="str">
        <x:v>Track referral state, wait risk, abnormal-test escalation and patient-visible next step.</x:v>
      </x:c>
      <x:c r="P20" s="19" t="str"/>
      <x:c r="Q20" s="19" t="str"/>
      <x:c r="R20" s="19" t="str"/>
      <x:c r="S20" s="19" t="str">
        <x:v>medium</x:v>
      </x:c>
      <x:c r="T20" s="19" t="str">
        <x:v>02_extracted_evidence/quotes.csv</x:v>
      </x:c>
      <x:c r="U20" s="19" t="str">
        <x:v>research_evidence_package_health_system_patient_flows_2026-05-30.tar.gz::02_extracted_evidence/quotes.csv::Q003</x:v>
      </x:c>
    </x:row>
    <x:row r="21">
      <x:c r="A21" s="19" t="str">
        <x:v>A_flows</x:v>
      </x:c>
      <x:c r="B21" s="19" t="str">
        <x:v>research_evidence_package_health_system_patient_flows_2026-05-30.tar.gz</x:v>
      </x:c>
      <x:c r="C21" s="19" t="str">
        <x:v>Research A / health-system patient flows</x:v>
      </x:c>
      <x:c r="D21" s="19" t="str">
        <x:v>quote</x:v>
      </x:c>
      <x:c r="E21" s="19" t="str">
        <x:v>Q004</x:v>
      </x:c>
      <x:c r="F21" s="19" t="str">
        <x:v>S24</x:v>
      </x:c>
      <x:c r="G21" s="19" t="str">
        <x:v>Patients being harmed due to repeated mistakes in reading scans</x:v>
      </x:c>
      <x:c r="H21" s="19" t="str">
        <x:v>https://www.ombudsman.org.uk/news-and-blog/news/patients-being-harmed-due-repeated-mistakes-reading-scans</x:v>
      </x:c>
      <x:c r="I21" s="19" t="str">
        <x:v>England</x:v>
      </x:c>
      <x:c r="J21" s="19" t="str">
        <x:v>hospital outpatient / imaging / ED</x:v>
      </x:c>
      <x:c r="K21" s="19" t="str">
        <x:v>abnormal result not followed up; red flag missed; repeated visits ignored</x:v>
      </x:c>
      <x:c r="L21" s="19" t="str"/>
      <x:c r="M21" s="19" t="str">
        <x:v>abnormal result not followed up; red flag missed; repeated visits ignored</x:v>
      </x:c>
      <x:c r="N21" s="19" t="str">
        <x:v>“I really tried to get the doctors to listen”</x:v>
      </x:c>
      <x:c r="O21" s="19" t="str">
        <x:v>Closed-loop imaging: critical finding acknowledgment, patient notification and escalation if no action documented.</x:v>
      </x:c>
      <x:c r="P21" s="19" t="str"/>
      <x:c r="Q21" s="19" t="str"/>
      <x:c r="R21" s="19" t="str"/>
      <x:c r="S21" s="19" t="str">
        <x:v>high</x:v>
      </x:c>
      <x:c r="T21" s="19" t="str">
        <x:v>02_extracted_evidence/quotes.csv</x:v>
      </x:c>
      <x:c r="U21" s="19" t="str">
        <x:v>research_evidence_package_health_system_patient_flows_2026-05-30.tar.gz::02_extracted_evidence/quotes.csv::Q004</x:v>
      </x:c>
    </x:row>
    <x:row r="22">
      <x:c r="A22" s="19" t="str">
        <x:v>A_flows</x:v>
      </x:c>
      <x:c r="B22" s="19" t="str">
        <x:v>research_evidence_package_health_system_patient_flows_2026-05-30.tar.gz</x:v>
      </x:c>
      <x:c r="C22" s="19" t="str">
        <x:v>Research A / health-system patient flows</x:v>
      </x:c>
      <x:c r="D22" s="19" t="str">
        <x:v>quote</x:v>
      </x:c>
      <x:c r="E22" s="19" t="str">
        <x:v>Q005</x:v>
      </x:c>
      <x:c r="F22" s="19" t="str">
        <x:v>S29</x:v>
      </x:c>
      <x:c r="G22" s="19" t="str">
        <x:v>Outpatient recovery and transformation improvement guide</x:v>
      </x:c>
      <x:c r="H22" s="19" t="str">
        <x:v>https://www.england.nhs.uk/long-read/outpatient-recovery-and-transformation-improvement-guide/</x:v>
      </x:c>
      <x:c r="I22" s="19" t="str">
        <x:v>England</x:v>
      </x:c>
      <x:c r="J22" s="19" t="str">
        <x:v>hospital outpatient / specialist clinic</x:v>
      </x:c>
      <x:c r="K22" s="19" t="str">
        <x:v>referral delay; no follow-up ownership; normal-test trap</x:v>
      </x:c>
      <x:c r="L22" s="19" t="str"/>
      <x:c r="M22" s="19" t="str">
        <x:v>referral delay; no follow-up ownership; normal-test trap</x:v>
      </x:c>
      <x:c r="N22" s="19" t="str">
        <x:v>“discuss with” rather than “refer to”</x:v>
      </x:c>
      <x:c r="O22" s="19" t="str">
        <x:v>Record advice decisions with safety-net tasks and escalation criteria.</x:v>
      </x:c>
      <x:c r="P22" s="19" t="str"/>
      <x:c r="Q22" s="19" t="str"/>
      <x:c r="R22" s="19" t="str"/>
      <x:c r="S22" s="19" t="str">
        <x:v>medium</x:v>
      </x:c>
      <x:c r="T22" s="19" t="str">
        <x:v>02_extracted_evidence/quotes.csv</x:v>
      </x:c>
      <x:c r="U22" s="19" t="str">
        <x:v>research_evidence_package_health_system_patient_flows_2026-05-30.tar.gz::02_extracted_evidence/quotes.csv::Q005</x:v>
      </x:c>
    </x:row>
    <x:row r="23">
      <x:c r="A23" s="19" t="str">
        <x:v>B_missed</x:v>
      </x:c>
      <x:c r="B23" s="19" t="str">
        <x:v>research_evidence_package_missed_signals_diagnostic_errors_2026-05-30.tar.gz</x:v>
      </x:c>
      <x:c r="C23" s="19" t="str">
        <x:v>Research B / missed signals and diagnostic errors</x:v>
      </x:c>
      <x:c r="D23" s="19" t="str">
        <x:v>quote</x:v>
      </x:c>
      <x:c r="E23" s="19" t="str">
        <x:v>Q-001</x:v>
      </x:c>
      <x:c r="F23" s="19" t="str">
        <x:v>unknown</x:v>
      </x:c>
      <x:c r="G23" s="19" t="str"/>
      <x:c r="H23" s="19" t="str">
        <x:v>https://psnet.ahrq.gov/web-mm/endometriosis-common-and-commonly-missed-and-delayed-diagnosis</x:v>
      </x:c>
      <x:c r="I23" s="19" t="str">
        <x:v>United States</x:v>
      </x:c>
      <x:c r="J23" s="19" t="str">
        <x:v>primary care; specialist clinic; hospital outpatient</x:v>
      </x:c>
      <x:c r="K23" s="19" t="str">
        <x:v>unknown</x:v>
      </x:c>
      <x:c r="L23" s="19" t="str"/>
      <x:c r="M23" s="19" t="str">
        <x:v>unknown</x:v>
      </x:c>
      <x:c r="N23" s="19" t="str">
        <x:v>'she was crazy'</x:v>
      </x:c>
      <x:c r="O23" s="19" t="str">
        <x:v>Shows patient or clinician voice linked to a documented missed-signal pattern.</x:v>
      </x:c>
      <x:c r="P23" s="19" t="str"/>
      <x:c r="Q23" s="19" t="str"/>
      <x:c r="R23" s="19" t="str"/>
      <x:c r="S23" s="19" t="str">
        <x:v>high</x:v>
      </x:c>
      <x:c r="T23" s="19" t="str">
        <x:v>02_extracted_evidence/quotes.csv</x:v>
      </x:c>
      <x:c r="U23" s="19" t="str">
        <x:v>research_evidence_package_missed_signals_diagnostic_errors_2026-05-30.tar.gz::02_extracted_evidence/quotes.csv::Q-001</x:v>
      </x:c>
    </x:row>
    <x:row r="24">
      <x:c r="A24" s="19" t="str">
        <x:v>B_missed</x:v>
      </x:c>
      <x:c r="B24" s="19" t="str">
        <x:v>research_evidence_package_missed_signals_diagnostic_errors_2026-05-30.tar.gz</x:v>
      </x:c>
      <x:c r="C24" s="19" t="str">
        <x:v>Research B / missed signals and diagnostic errors</x:v>
      </x:c>
      <x:c r="D24" s="19" t="str">
        <x:v>quote</x:v>
      </x:c>
      <x:c r="E24" s="19" t="str">
        <x:v>Q-002</x:v>
      </x:c>
      <x:c r="F24" s="19" t="str">
        <x:v>unknown</x:v>
      </x:c>
      <x:c r="G24" s="19" t="str"/>
      <x:c r="H24" s="19" t="str">
        <x:v>https://psnet.ahrq.gov/web-mm/renal-failure-due-benign-prostatic-hyperplasia</x:v>
      </x:c>
      <x:c r="I24" s="19" t="str">
        <x:v>United States</x:v>
      </x:c>
      <x:c r="J24" s="19" t="str">
        <x:v>primary care; specialist clinic; emergency department</x:v>
      </x:c>
      <x:c r="K24" s="19" t="str">
        <x:v>unknown</x:v>
      </x:c>
      <x:c r="L24" s="19" t="str"/>
      <x:c r="M24" s="19" t="str">
        <x:v>unknown</x:v>
      </x:c>
      <x:c r="N24" s="19" t="str">
        <x:v>dismissive / berating</x:v>
      </x:c>
      <x:c r="O24" s="19" t="str">
        <x:v>Shows patient or clinician voice linked to a documented missed-signal pattern.</x:v>
      </x:c>
      <x:c r="P24" s="19" t="str"/>
      <x:c r="Q24" s="19" t="str"/>
      <x:c r="R24" s="19" t="str"/>
      <x:c r="S24" s="19" t="str">
        <x:v>high</x:v>
      </x:c>
      <x:c r="T24" s="19" t="str">
        <x:v>02_extracted_evidence/quotes.csv</x:v>
      </x:c>
      <x:c r="U24" s="19" t="str">
        <x:v>research_evidence_package_missed_signals_diagnostic_errors_2026-05-30.tar.gz::02_extracted_evidence/quotes.csv::Q-002</x:v>
      </x:c>
    </x:row>
    <x:row r="25">
      <x:c r="A25" s="19" t="str">
        <x:v>B_missed</x:v>
      </x:c>
      <x:c r="B25" s="19" t="str">
        <x:v>research_evidence_package_missed_signals_diagnostic_errors_2026-05-30.tar.gz</x:v>
      </x:c>
      <x:c r="C25" s="19" t="str">
        <x:v>Research B / missed signals and diagnostic errors</x:v>
      </x:c>
      <x:c r="D25" s="19" t="str">
        <x:v>quote</x:v>
      </x:c>
      <x:c r="E25" s="19" t="str">
        <x:v>Q-003</x:v>
      </x:c>
      <x:c r="F25" s="19" t="str">
        <x:v>S-006</x:v>
      </x:c>
      <x:c r="G25" s="19" t="str">
        <x:v>Woman diagnosed with terminal cervical cancer after NHS missed smear tests</x:v>
      </x:c>
      <x:c r="H25" s="19" t="str">
        <x:v>https://www.independent.co.uk/news/health/cervical-cancer-screens-misdiagnosis-nhs-b2563898.html</x:v>
      </x:c>
      <x:c r="I25" s="19" t="str">
        <x:v>England / United Kingdom</x:v>
      </x:c>
      <x:c r="J25" s="19" t="str">
        <x:v>public health screening; specialist clinic; hospital outpatient</x:v>
      </x:c>
      <x:c r="K25" s="19" t="str">
        <x:v>unknown</x:v>
      </x:c>
      <x:c r="L25" s="19" t="str"/>
      <x:c r="M25" s="19" t="str">
        <x:v>unknown</x:v>
      </x:c>
      <x:c r="N25" s="19" t="str">
        <x:v>'trust their instincts'</x:v>
      </x:c>
      <x:c r="O25" s="19" t="str">
        <x:v>Shows patient or clinician voice linked to a documented missed-signal pattern.</x:v>
      </x:c>
      <x:c r="P25" s="19" t="str"/>
      <x:c r="Q25" s="19" t="str"/>
      <x:c r="R25" s="19" t="str"/>
      <x:c r="S25" s="19" t="str">
        <x:v>medium</x:v>
      </x:c>
      <x:c r="T25" s="19" t="str">
        <x:v>02_extracted_evidence/quotes.csv</x:v>
      </x:c>
      <x:c r="U25" s="19" t="str">
        <x:v>research_evidence_package_missed_signals_diagnostic_errors_2026-05-30.tar.gz::02_extracted_evidence/quotes.csv::Q-003</x:v>
      </x:c>
    </x:row>
    <x:row r="26">
      <x:c r="A26" s="19" t="str">
        <x:v>B_missed</x:v>
      </x:c>
      <x:c r="B26" s="19" t="str">
        <x:v>research_evidence_package_missed_signals_diagnostic_errors_2026-05-30.tar.gz</x:v>
      </x:c>
      <x:c r="C26" s="19" t="str">
        <x:v>Research B / missed signals and diagnostic errors</x:v>
      </x:c>
      <x:c r="D26" s="19" t="str">
        <x:v>quote</x:v>
      </x:c>
      <x:c r="E26" s="19" t="str">
        <x:v>Q-004</x:v>
      </x:c>
      <x:c r="F26" s="19" t="str">
        <x:v>S-008</x:v>
      </x:c>
      <x:c r="G26" s="19" t="str">
        <x:v>Dysautonomia International POTS Patient Survey</x:v>
      </x:c>
      <x:c r="H26" s="19" t="str">
        <x:v>https://www.dysautonomiainternational.org/page.php?ID=184</x:v>
      </x:c>
      <x:c r="I26" s="19" t="str">
        <x:v>International / mostly patient-reported</x:v>
      </x:c>
      <x:c r="J26" s="19" t="str">
        <x:v>primary care; emergency department; specialist clinic</x:v>
      </x:c>
      <x:c r="K26" s="19" t="str">
        <x:v>unknown</x:v>
      </x:c>
      <x:c r="L26" s="19" t="str"/>
      <x:c r="M26" s="19" t="str">
        <x:v>unknown</x:v>
      </x:c>
      <x:c r="N26" s="19" t="str">
        <x:v>'all in your head'</x:v>
      </x:c>
      <x:c r="O26" s="19" t="str">
        <x:v>Shows patient or clinician voice linked to a documented missed-signal pattern.</x:v>
      </x:c>
      <x:c r="P26" s="19" t="str"/>
      <x:c r="Q26" s="19" t="str"/>
      <x:c r="R26" s="19" t="str"/>
      <x:c r="S26" s="19" t="str">
        <x:v>medium</x:v>
      </x:c>
      <x:c r="T26" s="19" t="str">
        <x:v>02_extracted_evidence/quotes.csv</x:v>
      </x:c>
      <x:c r="U26" s="19" t="str">
        <x:v>research_evidence_package_missed_signals_diagnostic_errors_2026-05-30.tar.gz::02_extracted_evidence/quotes.csv::Q-004</x:v>
      </x:c>
    </x:row>
    <x:row r="27">
      <x:c r="A27" s="19" t="str">
        <x:v>B_missed</x:v>
      </x:c>
      <x:c r="B27" s="19" t="str">
        <x:v>research_evidence_package_missed_signals_diagnostic_errors_2026-05-30.tar.gz</x:v>
      </x:c>
      <x:c r="C27" s="19" t="str">
        <x:v>Research B / missed signals and diagnostic errors</x:v>
      </x:c>
      <x:c r="D27" s="19" t="str">
        <x:v>quote</x:v>
      </x:c>
      <x:c r="E27" s="19" t="str">
        <x:v>Q-005</x:v>
      </x:c>
      <x:c r="F27" s="19" t="str">
        <x:v>S-009</x:v>
      </x:c>
      <x:c r="G27" s="19" t="str">
        <x:v>Devon woman with ME inquest report</x:v>
      </x:c>
      <x:c r="H27" s="19" t="str">
        <x:v>https://www.theguardian.com/society/article/2024/jul/22/devon-woman-with-me-asked-gp-to-help-her-get-enough-food-to-live-inquest-hears</x:v>
      </x:c>
      <x:c r="I27" s="19" t="str">
        <x:v>England / United Kingdom</x:v>
      </x:c>
      <x:c r="J27" s="19" t="str">
        <x:v>primary care; hospital inpatient; home/community visit</x:v>
      </x:c>
      <x:c r="K27" s="19" t="str">
        <x:v>unknown</x:v>
      </x:c>
      <x:c r="L27" s="19" t="str"/>
      <x:c r="M27" s="19" t="str">
        <x:v>unknown</x:v>
      </x:c>
      <x:c r="N27" s="19" t="str">
        <x:v>'get enough food to live'</x:v>
      </x:c>
      <x:c r="O27" s="19" t="str">
        <x:v>Shows patient or clinician voice linked to a documented missed-signal pattern.</x:v>
      </x:c>
      <x:c r="P27" s="19" t="str"/>
      <x:c r="Q27" s="19" t="str"/>
      <x:c r="R27" s="19" t="str"/>
      <x:c r="S27" s="19" t="str">
        <x:v>medium</x:v>
      </x:c>
      <x:c r="T27" s="19" t="str">
        <x:v>02_extracted_evidence/quotes.csv</x:v>
      </x:c>
      <x:c r="U27" s="19" t="str">
        <x:v>research_evidence_package_missed_signals_diagnostic_errors_2026-05-30.tar.gz::02_extracted_evidence/quotes.csv::Q-005</x:v>
      </x:c>
    </x:row>
    <x:row r="28">
      <x:c r="A28" s="19" t="str">
        <x:v>B_missed</x:v>
      </x:c>
      <x:c r="B28" s="19" t="str">
        <x:v>research_evidence_package_missed_signals_diagnostic_errors_2026-05-30.tar.gz</x:v>
      </x:c>
      <x:c r="C28" s="19" t="str">
        <x:v>Research B / missed signals and diagnostic errors</x:v>
      </x:c>
      <x:c r="D28" s="19" t="str">
        <x:v>quote</x:v>
      </x:c>
      <x:c r="E28" s="19" t="str">
        <x:v>Q-006</x:v>
      </x:c>
      <x:c r="F28" s="19" t="str">
        <x:v>S-009</x:v>
      </x:c>
      <x:c r="G28" s="19" t="str">
        <x:v>Devon woman with ME inquest report</x:v>
      </x:c>
      <x:c r="H28" s="19" t="str">
        <x:v>https://www.theguardian.com/society/article/2024/jul/22/devon-woman-with-me-asked-gp-to-help-her-get-enough-food-to-live-inquest-hears</x:v>
      </x:c>
      <x:c r="I28" s="19" t="str">
        <x:v>England / United Kingdom</x:v>
      </x:c>
      <x:c r="J28" s="19" t="str">
        <x:v>primary care; hospital inpatient; home/community visit</x:v>
      </x:c>
      <x:c r="K28" s="19" t="str">
        <x:v>unknown</x:v>
      </x:c>
      <x:c r="L28" s="19" t="str"/>
      <x:c r="M28" s="19" t="str">
        <x:v>unknown</x:v>
      </x:c>
      <x:c r="N28" s="19" t="str">
        <x:v>'We needed help. We all needed help.'</x:v>
      </x:c>
      <x:c r="O28" s="19" t="str">
        <x:v>Shows patient or clinician voice linked to a documented missed-signal pattern.</x:v>
      </x:c>
      <x:c r="P28" s="19" t="str"/>
      <x:c r="Q28" s="19" t="str"/>
      <x:c r="R28" s="19" t="str"/>
      <x:c r="S28" s="19" t="str">
        <x:v>medium</x:v>
      </x:c>
      <x:c r="T28" s="19" t="str">
        <x:v>02_extracted_evidence/quotes.csv</x:v>
      </x:c>
      <x:c r="U28" s="19" t="str">
        <x:v>research_evidence_package_missed_signals_diagnostic_errors_2026-05-30.tar.gz::02_extracted_evidence/quotes.csv::Q-006</x:v>
      </x:c>
    </x:row>
    <x:row r="29">
      <x:c r="A29" s="19" t="str">
        <x:v>B_missed</x:v>
      </x:c>
      <x:c r="B29" s="19" t="str">
        <x:v>research_evidence_package_missed_signals_diagnostic_errors_2026-05-30.tar.gz</x:v>
      </x:c>
      <x:c r="C29" s="19" t="str">
        <x:v>Research B / missed signals and diagnostic errors</x:v>
      </x:c>
      <x:c r="D29" s="19" t="str">
        <x:v>quote</x:v>
      </x:c>
      <x:c r="E29" s="19" t="str">
        <x:v>Q-007</x:v>
      </x:c>
      <x:c r="F29" s="19" t="str">
        <x:v>S-010</x:v>
      </x:c>
      <x:c r="G29" s="19" t="str">
        <x:v>Lupus personal essay</x:v>
      </x:c>
      <x:c r="H29" s="19" t="str">
        <x:v>https://www.popsugar.com/health/how-i-got-my-lupus-diagnosis-personal-essay-49345999</x:v>
      </x:c>
      <x:c r="I29" s="19" t="str">
        <x:v>United States</x:v>
      </x:c>
      <x:c r="J29" s="19" t="str">
        <x:v>primary care; specialist clinic</x:v>
      </x:c>
      <x:c r="K29" s="19" t="str">
        <x:v>unknown</x:v>
      </x:c>
      <x:c r="L29" s="19" t="str"/>
      <x:c r="M29" s="19" t="str">
        <x:v>unknown</x:v>
      </x:c>
      <x:c r="N29" s="19" t="str">
        <x:v>anxiety was used against her</x:v>
      </x:c>
      <x:c r="O29" s="19" t="str">
        <x:v>Shows patient or clinician voice linked to a documented missed-signal pattern.</x:v>
      </x:c>
      <x:c r="P29" s="19" t="str"/>
      <x:c r="Q29" s="19" t="str"/>
      <x:c r="R29" s="19" t="str"/>
      <x:c r="S29" s="19" t="str">
        <x:v>low</x:v>
      </x:c>
      <x:c r="T29" s="19" t="str">
        <x:v>02_extracted_evidence/quotes.csv</x:v>
      </x:c>
      <x:c r="U29" s="19" t="str">
        <x:v>research_evidence_package_missed_signals_diagnostic_errors_2026-05-30.tar.gz::02_extracted_evidence/quotes.csv::Q-007</x:v>
      </x:c>
    </x:row>
    <x:row r="30">
      <x:c r="A30" s="19" t="str">
        <x:v>C_complaints</x:v>
      </x:c>
      <x:c r="B30" s="19" t="str">
        <x:v>research_evidence_package_patient_complaints_identification_failures_2026-05-30.tar.gz</x:v>
      </x:c>
      <x:c r="C30" s="19" t="str">
        <x:v>Research C / patient complaints and identification failures</x:v>
      </x:c>
      <x:c r="D30" s="19" t="str">
        <x:v>quote</x:v>
      </x:c>
      <x:c r="E30" s="19" t="str">
        <x:v>Q001</x:v>
      </x:c>
      <x:c r="F30" s="19" t="str">
        <x:v>S001</x:v>
      </x:c>
      <x:c r="G30" s="19" t="str">
        <x:v>Aggressive and dismissive treatment</x:v>
      </x:c>
      <x:c r="H30" s="19" t="str">
        <x:v>https://www.careopinion.org.uk/1429947</x:v>
      </x:c>
      <x:c r="I30" s="19" t="str">
        <x:v>UK</x:v>
      </x:c>
      <x:c r="J30" s="19" t="str">
        <x:v>hospital / acute assessment</x:v>
      </x:c>
      <x:c r="K30" s="19" t="str">
        <x:v>dismissal during assessment</x:v>
      </x:c>
      <x:c r="L30" s="19" t="str"/>
      <x:c r="M30" s="19" t="str">
        <x:v>dismissal during assessment</x:v>
      </x:c>
      <x:c r="N30" s="19" t="str">
        <x:v>I felt completely dismissed and silenced.</x:v>
      </x:c>
      <x:c r="O30" s="19" t="str">
        <x:v>Shows patient narrative may be suppressed at the first clinician assessment.</x:v>
      </x:c>
      <x:c r="P30" s="19" t="str"/>
      <x:c r="Q30" s="19" t="str"/>
      <x:c r="R30" s="19" t="str"/>
      <x:c r="S30" s="19" t="str">
        <x:v>medium</x:v>
      </x:c>
      <x:c r="T30" s="19" t="str">
        <x:v>02_extracted_evidence/quotes.csv</x:v>
      </x:c>
      <x:c r="U30" s="19" t="str">
        <x:v>research_evidence_package_patient_complaints_identification_failures_2026-05-30.tar.gz::02_extracted_evidence/quotes.csv::Q001</x:v>
      </x:c>
    </x:row>
    <x:row r="31">
      <x:c r="A31" s="19" t="str">
        <x:v>C_complaints</x:v>
      </x:c>
      <x:c r="B31" s="19" t="str">
        <x:v>research_evidence_package_patient_complaints_identification_failures_2026-05-30.tar.gz</x:v>
      </x:c>
      <x:c r="C31" s="19" t="str">
        <x:v>Research C / patient complaints and identification failures</x:v>
      </x:c>
      <x:c r="D31" s="19" t="str">
        <x:v>quote</x:v>
      </x:c>
      <x:c r="E31" s="19" t="str">
        <x:v>Q002</x:v>
      </x:c>
      <x:c r="F31" s="19" t="str">
        <x:v>S002</x:v>
      </x:c>
      <x:c r="G31" s="19" t="str">
        <x:v>Doctors are not listening to me</x:v>
      </x:c>
      <x:c r="H31" s="19" t="str">
        <x:v>https://www.careopinion.org.uk/1258944</x:v>
      </x:c>
      <x:c r="I31" s="19" t="str">
        <x:v>UK</x:v>
      </x:c>
      <x:c r="J31" s="19" t="str">
        <x:v>primary care</x:v>
      </x:c>
      <x:c r="K31" s="19" t="str">
        <x:v>one-symptom focus</x:v>
      </x:c>
      <x:c r="L31" s="19" t="str"/>
      <x:c r="M31" s="19" t="str">
        <x:v>one-symptom focus</x:v>
      </x:c>
      <x:c r="N31" s="19" t="str">
        <x:v>They decided to only treat the acid reflux.</x:v>
      </x:c>
      <x:c r="O31" s="19" t="str">
        <x:v>Shows agenda-setting and multi-issue visit closure problem.</x:v>
      </x:c>
      <x:c r="P31" s="19" t="str"/>
      <x:c r="Q31" s="19" t="str"/>
      <x:c r="R31" s="19" t="str"/>
      <x:c r="S31" s="19" t="str">
        <x:v>medium</x:v>
      </x:c>
      <x:c r="T31" s="19" t="str">
        <x:v>02_extracted_evidence/quotes.csv</x:v>
      </x:c>
      <x:c r="U31" s="19" t="str">
        <x:v>research_evidence_package_patient_complaints_identification_failures_2026-05-30.tar.gz::02_extracted_evidence/quotes.csv::Q002</x:v>
      </x:c>
    </x:row>
    <x:row r="32">
      <x:c r="A32" s="19" t="str">
        <x:v>C_complaints</x:v>
      </x:c>
      <x:c r="B32" s="19" t="str">
        <x:v>research_evidence_package_patient_complaints_identification_failures_2026-05-30.tar.gz</x:v>
      </x:c>
      <x:c r="C32" s="19" t="str">
        <x:v>Research C / patient complaints and identification failures</x:v>
      </x:c>
      <x:c r="D32" s="19" t="str">
        <x:v>quote</x:v>
      </x:c>
      <x:c r="E32" s="19" t="str">
        <x:v>Q003</x:v>
      </x:c>
      <x:c r="F32" s="19" t="str">
        <x:v>S003</x:v>
      </x:c>
      <x:c r="G32" s="19" t="str">
        <x:v>Left in pain and sent home with no diagnosis</x:v>
      </x:c>
      <x:c r="H32" s="19" t="str">
        <x:v>https://www.careopinion.org.uk/1117906</x:v>
      </x:c>
      <x:c r="I32" s="19" t="str">
        <x:v>Scotland, UK</x:v>
      </x:c>
      <x:c r="J32" s="19" t="str">
        <x:v>emergency department</x:v>
      </x:c>
      <x:c r="K32" s="19" t="str">
        <x:v>normal-test trap</x:v>
      </x:c>
      <x:c r="L32" s="19" t="str"/>
      <x:c r="M32" s="19" t="str">
        <x:v>normal-test trap</x:v>
      </x:c>
      <x:c r="N32" s="19" t="str">
        <x:v>Still in severe pain and still have no idea.</x:v>
      </x:c>
      <x:c r="O32" s="19" t="str">
        <x:v>Shows discharge without explanation or unresolved problem plan.</x:v>
      </x:c>
      <x:c r="P32" s="19" t="str"/>
      <x:c r="Q32" s="19" t="str"/>
      <x:c r="R32" s="19" t="str"/>
      <x:c r="S32" s="19" t="str">
        <x:v>medium</x:v>
      </x:c>
      <x:c r="T32" s="19" t="str">
        <x:v>02_extracted_evidence/quotes.csv</x:v>
      </x:c>
      <x:c r="U32" s="19" t="str">
        <x:v>research_evidence_package_patient_complaints_identification_failures_2026-05-30.tar.gz::02_extracted_evidence/quotes.csv::Q003</x:v>
      </x:c>
    </x:row>
    <x:row r="33">
      <x:c r="A33" s="19" t="str">
        <x:v>C_complaints</x:v>
      </x:c>
      <x:c r="B33" s="19" t="str">
        <x:v>research_evidence_package_patient_complaints_identification_failures_2026-05-30.tar.gz</x:v>
      </x:c>
      <x:c r="C33" s="19" t="str">
        <x:v>Research C / patient complaints and identification failures</x:v>
      </x:c>
      <x:c r="D33" s="19" t="str">
        <x:v>quote</x:v>
      </x:c>
      <x:c r="E33" s="19" t="str">
        <x:v>Q004</x:v>
      </x:c>
      <x:c r="F33" s="19" t="str">
        <x:v>S004</x:v>
      </x:c>
      <x:c r="G33" s="19" t="str">
        <x:v>Dismissed an elderly person</x:v>
      </x:c>
      <x:c r="H33" s="19" t="str">
        <x:v>https://www.careopinion.org.uk/1349233</x:v>
      </x:c>
      <x:c r="I33" s="19" t="str">
        <x:v>England, UK</x:v>
      </x:c>
      <x:c r="J33" s="19" t="str">
        <x:v>A&amp;E, GP, ambulance/111</x:v>
      </x:c>
      <x:c r="K33" s="19" t="str">
        <x:v>prior cancer red flag missed</x:v>
      </x:c>
      <x:c r="L33" s="19" t="str"/>
      <x:c r="M33" s="19" t="str">
        <x:v>prior cancer red flag missed</x:v>
      </x:c>
      <x:c r="N33" s="19" t="str">
        <x:v>No one listened to us.</x:v>
      </x:c>
      <x:c r="O33" s="19" t="str">
        <x:v>Shows repeated presentations and caregiver concern not integrated.</x:v>
      </x:c>
      <x:c r="P33" s="19" t="str"/>
      <x:c r="Q33" s="19" t="str"/>
      <x:c r="R33" s="19" t="str"/>
      <x:c r="S33" s="19" t="str">
        <x:v>medium</x:v>
      </x:c>
      <x:c r="T33" s="19" t="str">
        <x:v>02_extracted_evidence/quotes.csv</x:v>
      </x:c>
      <x:c r="U33" s="19" t="str">
        <x:v>research_evidence_package_patient_complaints_identification_failures_2026-05-30.tar.gz::02_extracted_evidence/quotes.csv::Q004</x:v>
      </x:c>
    </x:row>
    <x:row r="34">
      <x:c r="A34" s="19" t="str">
        <x:v>C_complaints</x:v>
      </x:c>
      <x:c r="B34" s="19" t="str">
        <x:v>research_evidence_package_patient_complaints_identification_failures_2026-05-30.tar.gz</x:v>
      </x:c>
      <x:c r="C34" s="19" t="str">
        <x:v>Research C / patient complaints and identification failures</x:v>
      </x:c>
      <x:c r="D34" s="19" t="str">
        <x:v>quote</x:v>
      </x:c>
      <x:c r="E34" s="19" t="str">
        <x:v>Q005</x:v>
      </x:c>
      <x:c r="F34" s="19" t="str">
        <x:v>S005</x:v>
      </x:c>
      <x:c r="G34" s="19" t="str">
        <x:v>My daughter’s experience at CAMHS</x:v>
      </x:c>
      <x:c r="H34" s="19" t="str">
        <x:v>https://www.careopinion.org.uk/176152</x:v>
      </x:c>
      <x:c r="I34" s="19" t="str">
        <x:v>Scotland, UK</x:v>
      </x:c>
      <x:c r="J34" s="19" t="str">
        <x:v>CAMHS / adolescent mental health</x:v>
      </x:c>
      <x:c r="K34" s="19" t="str">
        <x:v>family history ignored</x:v>
      </x:c>
      <x:c r="L34" s="19" t="str"/>
      <x:c r="M34" s="19" t="str">
        <x:v>family history ignored</x:v>
      </x:c>
      <x:c r="N34" s="19" t="str">
        <x:v>Refused to listen properly.</x:v>
      </x:c>
      <x:c r="O34" s="19" t="str">
        <x:v>Shows caregiver and family-history signals can be excluded.</x:v>
      </x:c>
      <x:c r="P34" s="19" t="str"/>
      <x:c r="Q34" s="19" t="str"/>
      <x:c r="R34" s="19" t="str"/>
      <x:c r="S34" s="19" t="str">
        <x:v>medium</x:v>
      </x:c>
      <x:c r="T34" s="19" t="str">
        <x:v>02_extracted_evidence/quotes.csv</x:v>
      </x:c>
      <x:c r="U34" s="19" t="str">
        <x:v>research_evidence_package_patient_complaints_identification_failures_2026-05-30.tar.gz::02_extracted_evidence/quotes.csv::Q005</x:v>
      </x:c>
    </x:row>
    <x:row r="35">
      <x:c r="A35" s="19" t="str">
        <x:v>C_complaints</x:v>
      </x:c>
      <x:c r="B35" s="19" t="str">
        <x:v>research_evidence_package_patient_complaints_identification_failures_2026-05-30.tar.gz</x:v>
      </x:c>
      <x:c r="C35" s="19" t="str">
        <x:v>Research C / patient complaints and identification failures</x:v>
      </x:c>
      <x:c r="D35" s="19" t="str">
        <x:v>quote</x:v>
      </x:c>
      <x:c r="E35" s="19" t="str">
        <x:v>Q006</x:v>
      </x:c>
      <x:c r="F35" s="19" t="str">
        <x:v>S006</x:v>
      </x:c>
      <x:c r="G35" s="19" t="str">
        <x:v>Denied ADHD referral</x:v>
      </x:c>
      <x:c r="H35" s="19" t="str">
        <x:v>https://www.careopinion.org.uk/1167674</x:v>
      </x:c>
      <x:c r="I35" s="19" t="str">
        <x:v>Scotland, UK</x:v>
      </x:c>
      <x:c r="J35" s="19" t="str">
        <x:v>referral triage</x:v>
      </x:c>
      <x:c r="K35" s="19" t="str">
        <x:v>referral rejection</x:v>
      </x:c>
      <x:c r="L35" s="19" t="str"/>
      <x:c r="M35" s="19" t="str">
        <x:v>referral rejection</x:v>
      </x:c>
      <x:c r="N35" s="19" t="str">
        <x:v>Not even meeting me.</x:v>
      </x:c>
      <x:c r="O35" s="19" t="str">
        <x:v>Shows administrative triage can feel like unsupported diagnosis.</x:v>
      </x:c>
      <x:c r="P35" s="19" t="str"/>
      <x:c r="Q35" s="19" t="str"/>
      <x:c r="R35" s="19" t="str"/>
      <x:c r="S35" s="19" t="str">
        <x:v>medium</x:v>
      </x:c>
      <x:c r="T35" s="19" t="str">
        <x:v>02_extracted_evidence/quotes.csv</x:v>
      </x:c>
      <x:c r="U35" s="19" t="str">
        <x:v>research_evidence_package_patient_complaints_identification_failures_2026-05-30.tar.gz::02_extracted_evidence/quotes.csv::Q006</x:v>
      </x:c>
    </x:row>
    <x:row r="36">
      <x:c r="A36" s="19" t="str">
        <x:v>C_complaints</x:v>
      </x:c>
      <x:c r="B36" s="19" t="str">
        <x:v>research_evidence_package_patient_complaints_identification_failures_2026-05-30.tar.gz</x:v>
      </x:c>
      <x:c r="C36" s="19" t="str">
        <x:v>Research C / patient complaints and identification failures</x:v>
      </x:c>
      <x:c r="D36" s="19" t="str">
        <x:v>quote</x:v>
      </x:c>
      <x:c r="E36" s="19" t="str">
        <x:v>Q007</x:v>
      </x:c>
      <x:c r="F36" s="19" t="str">
        <x:v>S007</x:v>
      </x:c>
      <x:c r="G36" s="19" t="str">
        <x:v>Wrongfully diagnosed</x:v>
      </x:c>
      <x:c r="H36" s="19" t="str">
        <x:v>https://www.careopinion.org.uk/1378025</x:v>
      </x:c>
      <x:c r="I36" s="19" t="str">
        <x:v>England, UK</x:v>
      </x:c>
      <x:c r="J36" s="19" t="str">
        <x:v>documentation / portal</x:v>
      </x:c>
      <x:c r="K36" s="19" t="str">
        <x:v>documentation ambiguity</x:v>
      </x:c>
      <x:c r="L36" s="19" t="str"/>
      <x:c r="M36" s="19" t="str">
        <x:v>documentation ambiguity</x:v>
      </x:c>
      <x:c r="N36" s="19" t="str">
        <x:v>No one had told me initially.</x:v>
      </x:c>
      <x:c r="O36" s="19" t="str">
        <x:v>Shows patient-facing records can confuse diagnosis status.</x:v>
      </x:c>
      <x:c r="P36" s="19" t="str"/>
      <x:c r="Q36" s="19" t="str"/>
      <x:c r="R36" s="19" t="str"/>
      <x:c r="S36" s="19" t="str">
        <x:v>medium</x:v>
      </x:c>
      <x:c r="T36" s="19" t="str">
        <x:v>02_extracted_evidence/quotes.csv</x:v>
      </x:c>
      <x:c r="U36" s="19" t="str">
        <x:v>research_evidence_package_patient_complaints_identification_failures_2026-05-30.tar.gz::02_extracted_evidence/quotes.csv::Q007</x:v>
      </x:c>
    </x:row>
    <x:row r="37">
      <x:c r="A37" s="19" t="str">
        <x:v>C_complaints</x:v>
      </x:c>
      <x:c r="B37" s="19" t="str">
        <x:v>research_evidence_package_patient_complaints_identification_failures_2026-05-30.tar.gz</x:v>
      </x:c>
      <x:c r="C37" s="19" t="str">
        <x:v>Research C / patient complaints and identification failures</x:v>
      </x:c>
      <x:c r="D37" s="19" t="str">
        <x:v>quote</x:v>
      </x:c>
      <x:c r="E37" s="19" t="str">
        <x:v>Q008</x:v>
      </x:c>
      <x:c r="F37" s="19" t="str">
        <x:v>S008</x:v>
      </x:c>
      <x:c r="G37" s="19" t="str">
        <x:v>Broken trust - clinical failings</x:v>
      </x:c>
      <x:c r="H37" s="19" t="str">
        <x:v>https://www.ombudsman.org.uk/publications/broken-trust-making-patient-safety-more-just-promise-report/broken-trust-our-casework-evidence-clinical-failings</x:v>
      </x:c>
      <x:c r="I37" s="19" t="str">
        <x:v>England, UK</x:v>
      </x:c>
      <x:c r="J37" s="19" t="str">
        <x:v>out-of-hours GP / ED</x:v>
      </x:c>
      <x:c r="K37" s="19" t="str">
        <x:v>unsafe discharge</x:v>
      </x:c>
      <x:c r="L37" s="19" t="str"/>
      <x:c r="M37" s="19" t="str">
        <x:v>unsafe discharge</x:v>
      </x:c>
      <x:c r="N37" s="19" t="str">
        <x:v>He should have been in hospital.</x:v>
      </x:c>
      <x:c r="O37" s="19" t="str">
        <x:v>Shows discordance between clinical signs and discharge decision.</x:v>
      </x:c>
      <x:c r="P37" s="19" t="str"/>
      <x:c r="Q37" s="19" t="str"/>
      <x:c r="R37" s="19" t="str"/>
      <x:c r="S37" s="19" t="str">
        <x:v>high</x:v>
      </x:c>
      <x:c r="T37" s="19" t="str">
        <x:v>02_extracted_evidence/quotes.csv</x:v>
      </x:c>
      <x:c r="U37" s="19" t="str">
        <x:v>research_evidence_package_patient_complaints_identification_failures_2026-05-30.tar.gz::02_extracted_evidence/quotes.csv::Q008</x:v>
      </x:c>
    </x:row>
    <x:row r="38">
      <x:c r="A38" s="19" t="str">
        <x:v>C_complaints</x:v>
      </x:c>
      <x:c r="B38" s="19" t="str">
        <x:v>research_evidence_package_patient_complaints_identification_failures_2026-05-30.tar.gz</x:v>
      </x:c>
      <x:c r="C38" s="19" t="str">
        <x:v>Research C / patient complaints and identification failures</x:v>
      </x:c>
      <x:c r="D38" s="19" t="str">
        <x:v>quote</x:v>
      </x:c>
      <x:c r="E38" s="19" t="str">
        <x:v>Q009</x:v>
      </x:c>
      <x:c r="F38" s="19" t="str">
        <x:v>S018</x:v>
      </x:c>
      <x:c r="G38" s="19" t="str">
        <x:v>Taya’s Story</x:v>
      </x:c>
      <x:c r="H38" s="19" t="str">
        <x:v>https://www.endometriosis-uk.org/tayas-story</x:v>
      </x:c>
      <x:c r="I38" s="19" t="str">
        <x:v>UK</x:v>
      </x:c>
      <x:c r="J38" s="19" t="str">
        <x:v>specialist gynecology</x:v>
      </x:c>
      <x:c r="K38" s="19" t="str">
        <x:v>gendered dismissal</x:v>
      </x:c>
      <x:c r="L38" s="19" t="str"/>
      <x:c r="M38" s="19" t="str">
        <x:v>gendered dismissal</x:v>
      </x:c>
      <x:c r="N38" s="19" t="str">
        <x:v>Too many women worry about endometriosis.</x:v>
      </x:c>
      <x:c r="O38" s="19" t="str">
        <x:v>Shows concern about endometriosis can be minimized.</x:v>
      </x:c>
      <x:c r="P38" s="19" t="str"/>
      <x:c r="Q38" s="19" t="str"/>
      <x:c r="R38" s="19" t="str"/>
      <x:c r="S38" s="19" t="str">
        <x:v>medium</x:v>
      </x:c>
      <x:c r="T38" s="19" t="str">
        <x:v>02_extracted_evidence/quotes.csv</x:v>
      </x:c>
      <x:c r="U38" s="19" t="str">
        <x:v>research_evidence_package_patient_complaints_identification_failures_2026-05-30.tar.gz::02_extracted_evidence/quotes.csv::Q009</x:v>
      </x:c>
    </x:row>
    <x:row r="39">
      <x:c r="A39" s="19" t="str">
        <x:v>C_complaints</x:v>
      </x:c>
      <x:c r="B39" s="19" t="str">
        <x:v>research_evidence_package_patient_complaints_identification_failures_2026-05-30.tar.gz</x:v>
      </x:c>
      <x:c r="C39" s="19" t="str">
        <x:v>Research C / patient complaints and identification failures</x:v>
      </x:c>
      <x:c r="D39" s="19" t="str">
        <x:v>quote</x:v>
      </x:c>
      <x:c r="E39" s="19" t="str">
        <x:v>Q010</x:v>
      </x:c>
      <x:c r="F39" s="19" t="str">
        <x:v>S019</x:v>
      </x:c>
      <x:c r="G39" s="19" t="str">
        <x:v>Orla’s Story</x:v>
      </x:c>
      <x:c r="H39" s="19" t="str">
        <x:v>https://www.endometriosis-uk.org/orlas-story</x:v>
      </x:c>
      <x:c r="I39" s="19" t="str">
        <x:v>UK</x:v>
      </x:c>
      <x:c r="J39" s="19" t="str">
        <x:v>primary care</x:v>
      </x:c>
      <x:c r="K39" s="19" t="str">
        <x:v>normalization of symptoms</x:v>
      </x:c>
      <x:c r="L39" s="19" t="str"/>
      <x:c r="M39" s="19" t="str">
        <x:v>normalization of symptoms</x:v>
      </x:c>
      <x:c r="N39" s="19" t="str">
        <x:v>Normal part of womanhood.</x:v>
      </x:c>
      <x:c r="O39" s="19" t="str">
        <x:v>Shows severe function-impacting symptoms may be reframed as normal.</x:v>
      </x:c>
      <x:c r="P39" s="19" t="str"/>
      <x:c r="Q39" s="19" t="str"/>
      <x:c r="R39" s="19" t="str"/>
      <x:c r="S39" s="19" t="str">
        <x:v>medium</x:v>
      </x:c>
      <x:c r="T39" s="19" t="str">
        <x:v>02_extracted_evidence/quotes.csv</x:v>
      </x:c>
      <x:c r="U39" s="19" t="str">
        <x:v>research_evidence_package_patient_complaints_identification_failures_2026-05-30.tar.gz::02_extracted_evidence/quotes.csv::Q010</x:v>
      </x:c>
    </x:row>
    <x:row r="40">
      <x:c r="A40" s="19" t="str">
        <x:v>C_complaints</x:v>
      </x:c>
      <x:c r="B40" s="19" t="str">
        <x:v>research_evidence_package_patient_complaints_identification_failures_2026-05-30.tar.gz</x:v>
      </x:c>
      <x:c r="C40" s="19" t="str">
        <x:v>Research C / patient complaints and identification failures</x:v>
      </x:c>
      <x:c r="D40" s="19" t="str">
        <x:v>quote</x:v>
      </x:c>
      <x:c r="E40" s="19" t="str">
        <x:v>Q011</x:v>
      </x:c>
      <x:c r="F40" s="19" t="str">
        <x:v>S020</x:v>
      </x:c>
      <x:c r="G40" s="19" t="str">
        <x:v>Dipika’s Story</x:v>
      </x:c>
      <x:c r="H40" s="19" t="str">
        <x:v>https://www.endometriosis-uk.org/dipikas-story</x:v>
      </x:c>
      <x:c r="I40" s="19" t="str">
        <x:v>UK</x:v>
      </x:c>
      <x:c r="J40" s="19" t="str">
        <x:v>primary care to gynecology</x:v>
      </x:c>
      <x:c r="K40" s="19" t="str">
        <x:v>rare/chronic delay</x:v>
      </x:c>
      <x:c r="L40" s="19" t="str"/>
      <x:c r="M40" s="19" t="str">
        <x:v>rare/chronic delay</x:v>
      </x:c>
      <x:c r="N40" s="19" t="str">
        <x:v>Finally had answers after 27 years.</x:v>
      </x:c>
      <x:c r="O40" s="19" t="str">
        <x:v>Shows emotional relief after prolonged unresolved symptoms.</x:v>
      </x:c>
      <x:c r="P40" s="19" t="str"/>
      <x:c r="Q40" s="19" t="str"/>
      <x:c r="R40" s="19" t="str"/>
      <x:c r="S40" s="19" t="str">
        <x:v>medium</x:v>
      </x:c>
      <x:c r="T40" s="19" t="str">
        <x:v>02_extracted_evidence/quotes.csv</x:v>
      </x:c>
      <x:c r="U40" s="19" t="str">
        <x:v>research_evidence_package_patient_complaints_identification_failures_2026-05-30.tar.gz::02_extracted_evidence/quotes.csv::Q011</x:v>
      </x:c>
    </x:row>
    <x:row r="41">
      <x:c r="A41" s="19" t="str">
        <x:v>C_complaints</x:v>
      </x:c>
      <x:c r="B41" s="19" t="str">
        <x:v>research_evidence_package_patient_complaints_identification_failures_2026-05-30.tar.gz</x:v>
      </x:c>
      <x:c r="C41" s="19" t="str">
        <x:v>Research C / patient complaints and identification failures</x:v>
      </x:c>
      <x:c r="D41" s="19" t="str">
        <x:v>quote</x:v>
      </x:c>
      <x:c r="E41" s="19" t="str">
        <x:v>Q012</x:v>
      </x:c>
      <x:c r="F41" s="19" t="str">
        <x:v>S021</x:v>
      </x:c>
      <x:c r="G41" s="19" t="str">
        <x:v>Stephanie’s Story</x:v>
      </x:c>
      <x:c r="H41" s="19" t="str">
        <x:v>https://www.endometriosis-uk.org/stephanies-story-0</x:v>
      </x:c>
      <x:c r="I41" s="19" t="str">
        <x:v>UK</x:v>
      </x:c>
      <x:c r="J41" s="19" t="str">
        <x:v>A&amp;E, imaging, surgery</x:v>
      </x:c>
      <x:c r="K41" s="19" t="str">
        <x:v>diagnosis communication gap</x:v>
      </x:c>
      <x:c r="L41" s="19" t="str"/>
      <x:c r="M41" s="19" t="str">
        <x:v>diagnosis communication gap</x:v>
      </x:c>
      <x:c r="N41" s="19" t="str">
        <x:v>I wasn’t given any further information.</x:v>
      </x:c>
      <x:c r="O41" s="19" t="str">
        <x:v>Shows diagnosis label alone is insufficient for patient understanding.</x:v>
      </x:c>
      <x:c r="P41" s="19" t="str"/>
      <x:c r="Q41" s="19" t="str"/>
      <x:c r="R41" s="19" t="str"/>
      <x:c r="S41" s="19" t="str">
        <x:v>medium</x:v>
      </x:c>
      <x:c r="T41" s="19" t="str">
        <x:v>02_extracted_evidence/quotes.csv</x:v>
      </x:c>
      <x:c r="U41" s="19" t="str">
        <x:v>research_evidence_package_patient_complaints_identification_failures_2026-05-30.tar.gz::02_extracted_evidence/quotes.csv::Q012</x:v>
      </x:c>
    </x:row>
    <x:row r="42">
      <x:c r="A42" s="19" t="str">
        <x:v>C_complaints</x:v>
      </x:c>
      <x:c r="B42" s="19" t="str">
        <x:v>research_evidence_package_patient_complaints_identification_failures_2026-05-30.tar.gz</x:v>
      </x:c>
      <x:c r="C42" s="19" t="str">
        <x:v>Research C / patient complaints and identification failures</x:v>
      </x:c>
      <x:c r="D42" s="19" t="str">
        <x:v>quote</x:v>
      </x:c>
      <x:c r="E42" s="19" t="str">
        <x:v>Q013</x:v>
      </x:c>
      <x:c r="F42" s="19" t="str">
        <x:v>S022</x:v>
      </x:c>
      <x:c r="G42" s="19" t="str">
        <x:v>Debbie Cameron, Merseyside</x:v>
      </x:c>
      <x:c r="H42" s="19" t="str">
        <x:v>https://www.bowelcanceruk.org.uk/how-we-can-help/real-life-stories/personal-experiences/debbie-cameron%2C-merseyside/</x:v>
      </x:c>
      <x:c r="I42" s="19" t="str">
        <x:v>England, UK</x:v>
      </x:c>
      <x:c r="J42" s="19" t="str">
        <x:v>primary care</x:v>
      </x:c>
      <x:c r="K42" s="19" t="str">
        <x:v>red flag missed</x:v>
      </x:c>
      <x:c r="L42" s="19" t="str"/>
      <x:c r="M42" s="19" t="str">
        <x:v>red flag missed</x:v>
      </x:c>
      <x:c r="N42" s="19" t="str">
        <x:v>I wasn’t even examined.</x:v>
      </x:c>
      <x:c r="O42" s="19" t="str">
        <x:v>Shows physical exam/referral gap in bowel cancer warning symptom.</x:v>
      </x:c>
      <x:c r="P42" s="19" t="str"/>
      <x:c r="Q42" s="19" t="str"/>
      <x:c r="R42" s="19" t="str"/>
      <x:c r="S42" s="19" t="str">
        <x:v>medium</x:v>
      </x:c>
      <x:c r="T42" s="19" t="str">
        <x:v>02_extracted_evidence/quotes.csv</x:v>
      </x:c>
      <x:c r="U42" s="19" t="str">
        <x:v>research_evidence_package_patient_complaints_identification_failures_2026-05-30.tar.gz::02_extracted_evidence/quotes.csv::Q013</x:v>
      </x:c>
    </x:row>
    <x:row r="43">
      <x:c r="A43" s="19" t="str">
        <x:v>C_complaints</x:v>
      </x:c>
      <x:c r="B43" s="19" t="str">
        <x:v>research_evidence_package_patient_complaints_identification_failures_2026-05-30.tar.gz</x:v>
      </x:c>
      <x:c r="C43" s="19" t="str">
        <x:v>Research C / patient complaints and identification failures</x:v>
      </x:c>
      <x:c r="D43" s="19" t="str">
        <x:v>quote</x:v>
      </x:c>
      <x:c r="E43" s="19" t="str">
        <x:v>Q014</x:v>
      </x:c>
      <x:c r="F43" s="19" t="str">
        <x:v>S023</x:v>
      </x:c>
      <x:c r="G43" s="19" t="str">
        <x:v>Sarah McCollum, Surrey</x:v>
      </x:c>
      <x:c r="H43" s="19" t="str">
        <x:v>https://www.bowelcanceruk.org.uk/how-we-can-help/real-life-stories/younger-people-with-bowel-cancer/sarah-mccollum-surrey/</x:v>
      </x:c>
      <x:c r="I43" s="19" t="str">
        <x:v>England, UK</x:v>
      </x:c>
      <x:c r="J43" s="19" t="str">
        <x:v>A&amp;E / referral</x:v>
      </x:c>
      <x:c r="K43" s="19" t="str">
        <x:v>age bias</x:v>
      </x:c>
      <x:c r="L43" s="19" t="str"/>
      <x:c r="M43" s="19" t="str">
        <x:v>age bias</x:v>
      </x:c>
      <x:c r="N43" s="19" t="str">
        <x:v>Too young to have cancer.</x:v>
      </x:c>
      <x:c r="O43" s="19" t="str">
        <x:v>Shows age can become inappropriate rule-out.</x:v>
      </x:c>
      <x:c r="P43" s="19" t="str"/>
      <x:c r="Q43" s="19" t="str"/>
      <x:c r="R43" s="19" t="str"/>
      <x:c r="S43" s="19" t="str">
        <x:v>medium</x:v>
      </x:c>
      <x:c r="T43" s="19" t="str">
        <x:v>02_extracted_evidence/quotes.csv</x:v>
      </x:c>
      <x:c r="U43" s="19" t="str">
        <x:v>research_evidence_package_patient_complaints_identification_failures_2026-05-30.tar.gz::02_extracted_evidence/quotes.csv::Q014</x:v>
      </x:c>
    </x:row>
    <x:row r="44">
      <x:c r="A44" s="19" t="str">
        <x:v>C_complaints</x:v>
      </x:c>
      <x:c r="B44" s="19" t="str">
        <x:v>research_evidence_package_patient_complaints_identification_failures_2026-05-30.tar.gz</x:v>
      </x:c>
      <x:c r="C44" s="19" t="str">
        <x:v>Research C / patient complaints and identification failures</x:v>
      </x:c>
      <x:c r="D44" s="19" t="str">
        <x:v>quote</x:v>
      </x:c>
      <x:c r="E44" s="19" t="str">
        <x:v>Q015</x:v>
      </x:c>
      <x:c r="F44" s="19" t="str">
        <x:v>S025</x:v>
      </x:c>
      <x:c r="G44" s="19" t="str">
        <x:v>22-year-old diagnosed with terminal cancer after symptoms dismissed</x:v>
      </x:c>
      <x:c r="H44" s="19" t="str">
        <x:v>https://people.com/22-year-old-diagnosed-with-terminal-cancer-after-docs-dismiss-symptoms-11855746</x:v>
      </x:c>
      <x:c r="I44" s="19" t="str">
        <x:v>England, UK</x:v>
      </x:c>
      <x:c r="J44" s="19" t="str">
        <x:v>A&amp;E</x:v>
      </x:c>
      <x:c r="K44" s="19" t="str">
        <x:v>pain minimization</x:v>
      </x:c>
      <x:c r="L44" s="19" t="str"/>
      <x:c r="M44" s="19" t="str">
        <x:v>pain minimization</x:v>
      </x:c>
      <x:c r="N44" s="19" t="str">
        <x:v>Why would you come to A&amp;E for back pain?</x:v>
      </x:c>
      <x:c r="O44" s="19" t="str">
        <x:v>Shows functional impairment may be discounted until imaging access is forced.</x:v>
      </x:c>
      <x:c r="P44" s="19" t="str"/>
      <x:c r="Q44" s="19" t="str"/>
      <x:c r="R44" s="19" t="str"/>
      <x:c r="S44" s="19" t="str">
        <x:v>low-medium</x:v>
      </x:c>
      <x:c r="T44" s="19" t="str">
        <x:v>02_extracted_evidence/quotes.csv</x:v>
      </x:c>
      <x:c r="U44" s="19" t="str">
        <x:v>research_evidence_package_patient_complaints_identification_failures_2026-05-30.tar.gz::02_extracted_evidence/quotes.csv::Q015</x:v>
      </x:c>
    </x:row>
    <x:row r="45">
      <x:c r="A45" s="19" t="str">
        <x:v>C_complaints</x:v>
      </x:c>
      <x:c r="B45" s="19" t="str">
        <x:v>research_evidence_package_patient_complaints_identification_failures_2026-05-30.tar.gz</x:v>
      </x:c>
      <x:c r="C45" s="19" t="str">
        <x:v>Research C / patient complaints and identification failures</x:v>
      </x:c>
      <x:c r="D45" s="19" t="str">
        <x:v>quote</x:v>
      </x:c>
      <x:c r="E45" s="19" t="str">
        <x:v>Q016</x:v>
      </x:c>
      <x:c r="F45" s="19" t="str">
        <x:v>S026</x:v>
      </x:c>
      <x:c r="G45" s="19" t="str">
        <x:v>Wrong diagnosis killing many patients in Nigerian hospitals</x:v>
      </x:c>
      <x:c r="H45" s="19" t="str">
        <x:v>https://businessday.ng/health/article/wrong-diagnosis-killing-many-patients-in-nigerian-hospitals/</x:v>
      </x:c>
      <x:c r="I45" s="19" t="str">
        <x:v>Nigeria</x:v>
      </x:c>
      <x:c r="J45" s="19" t="str">
        <x:v>clinics/hospitals</x:v>
      </x:c>
      <x:c r="K45" s="19" t="str">
        <x:v>diagnostic drift</x:v>
      </x:c>
      <x:c r="L45" s="19" t="str"/>
      <x:c r="M45" s="19" t="str">
        <x:v>diagnostic drift</x:v>
      </x:c>
      <x:c r="N45" s="19" t="str">
        <x:v>I felt like I was going crazy.</x:v>
      </x:c>
      <x:c r="O45" s="19" t="str">
        <x:v>Shows emotional burden of unresolved symptoms and repeated consultations.</x:v>
      </x:c>
      <x:c r="P45" s="19" t="str"/>
      <x:c r="Q45" s="19" t="str"/>
      <x:c r="R45" s="19" t="str"/>
      <x:c r="S45" s="19" t="str">
        <x:v>low-medium</x:v>
      </x:c>
      <x:c r="T45" s="19" t="str">
        <x:v>02_extracted_evidence/quotes.csv</x:v>
      </x:c>
      <x:c r="U45" s="19" t="str">
        <x:v>research_evidence_package_patient_complaints_identification_failures_2026-05-30.tar.gz::02_extracted_evidence/quotes.csv::Q016</x:v>
      </x:c>
    </x:row>
    <x:row r="46">
      <x:c r="A46" s="19" t="str">
        <x:v>C_complaints</x:v>
      </x:c>
      <x:c r="B46" s="19" t="str">
        <x:v>research_evidence_package_patient_complaints_identification_failures_2026-05-30.tar.gz</x:v>
      </x:c>
      <x:c r="C46" s="19" t="str">
        <x:v>Research C / patient complaints and identification failures</x:v>
      </x:c>
      <x:c r="D46" s="19" t="str">
        <x:v>quote</x:v>
      </x:c>
      <x:c r="E46" s="19" t="str">
        <x:v>Q017</x:v>
      </x:c>
      <x:c r="F46" s="19" t="str">
        <x:v>S027</x:v>
      </x:c>
      <x:c r="G46" s="19" t="str">
        <x:v>Victims of wrong diagnosis, prescriptions in Kaduna, Katsina, Kano decry rot</x:v>
      </x:c>
      <x:c r="H46" s="19" t="str">
        <x:v>https://gazettengr.com/victims-of-wrong-diagnosis-prescriptions-in-kaduna-katsina-kano-decry-rot-in-nigerias-health-sector/</x:v>
      </x:c>
      <x:c r="I46" s="19" t="str">
        <x:v>Nigeria</x:v>
      </x:c>
      <x:c r="J46" s="19" t="str">
        <x:v>hospitals/labs</x:v>
      </x:c>
      <x:c r="K46" s="19" t="str">
        <x:v>low-resource trust gap</x:v>
      </x:c>
      <x:c r="L46" s="19" t="str"/>
      <x:c r="M46" s="19" t="str">
        <x:v>low-resource trust gap</x:v>
      </x:c>
      <x:c r="N46" s="19" t="str">
        <x:v>Health workers’ poor attitude is another major issue.</x:v>
      </x:c>
      <x:c r="O46" s="19" t="str">
        <x:v>Shows trust and service attitude interact with diagnostic reliability.</x:v>
      </x:c>
      <x:c r="P46" s="19" t="str"/>
      <x:c r="Q46" s="19" t="str"/>
      <x:c r="R46" s="19" t="str"/>
      <x:c r="S46" s="19" t="str">
        <x:v>low</x:v>
      </x:c>
      <x:c r="T46" s="19" t="str">
        <x:v>02_extracted_evidence/quotes.csv</x:v>
      </x:c>
      <x:c r="U46" s="19" t="str">
        <x:v>research_evidence_package_patient_complaints_identification_failures_2026-05-30.tar.gz::02_extracted_evidence/quotes.csv::Q017</x:v>
      </x:c>
    </x:row>
    <x:row r="47">
      <x:c r="A47" s="19" t="str">
        <x:v>C_complaints</x:v>
      </x:c>
      <x:c r="B47" s="19" t="str">
        <x:v>research_evidence_package_patient_complaints_identification_failures_2026-05-30.tar.gz</x:v>
      </x:c>
      <x:c r="C47" s="19" t="str">
        <x:v>Research C / patient complaints and identification failures</x:v>
      </x:c>
      <x:c r="D47" s="19" t="str">
        <x:v>quote</x:v>
      </x:c>
      <x:c r="E47" s="19" t="str">
        <x:v>Q018</x:v>
      </x:c>
      <x:c r="F47" s="19" t="str">
        <x:v>S037</x:v>
      </x:c>
      <x:c r="G47" s="19" t="str">
        <x:v>A very thorough doctor</x:v>
      </x:c>
      <x:c r="H47" s="19" t="str">
        <x:v>https://www.careopinion.org.uk/1333013</x:v>
      </x:c>
      <x:c r="I47" s="19" t="str">
        <x:v>UK</x:v>
      </x:c>
      <x:c r="J47" s="19" t="str">
        <x:v>primary care / NHS-linked review</x:v>
      </x:c>
      <x:c r="K47" s="19" t="str">
        <x:v>positive listening</x:v>
      </x:c>
      <x:c r="L47" s="19" t="str"/>
      <x:c r="M47" s="19" t="str">
        <x:v>positive listening</x:v>
      </x:c>
      <x:c r="N47" s="19" t="str">
        <x:v>Gave me time whilst he listened.</x:v>
      </x:c>
      <x:c r="O47" s="19" t="str">
        <x:v>Shows listening, explanation and exam as valued safety signals.</x:v>
      </x:c>
      <x:c r="P47" s="19" t="str"/>
      <x:c r="Q47" s="19" t="str"/>
      <x:c r="R47" s="19" t="str"/>
      <x:c r="S47" s="19" t="str">
        <x:v>medium</x:v>
      </x:c>
      <x:c r="T47" s="19" t="str">
        <x:v>02_extracted_evidence/quotes.csv</x:v>
      </x:c>
      <x:c r="U47" s="19" t="str">
        <x:v>research_evidence_package_patient_complaints_identification_failures_2026-05-30.tar.gz::02_extracted_evidence/quotes.csv::Q018</x:v>
      </x:c>
    </x:row>
    <x:row r="48">
      <x:c r="A48" s="19" t="str">
        <x:v>C_complaints</x:v>
      </x:c>
      <x:c r="B48" s="19" t="str">
        <x:v>research_evidence_package_patient_complaints_identification_failures_2026-05-30.tar.gz</x:v>
      </x:c>
      <x:c r="C48" s="19" t="str">
        <x:v>Research C / patient complaints and identification failures</x:v>
      </x:c>
      <x:c r="D48" s="19" t="str">
        <x:v>quote</x:v>
      </x:c>
      <x:c r="E48" s="19" t="str">
        <x:v>Q019</x:v>
      </x:c>
      <x:c r="F48" s="19" t="str">
        <x:v>S038</x:v>
      </x:c>
      <x:c r="G48" s="19" t="str">
        <x:v>Consultant saw me as a whole person</x:v>
      </x:c>
      <x:c r="H48" s="19" t="str">
        <x:v>https://www.careopinion.org.uk/1065736</x:v>
      </x:c>
      <x:c r="I48" s="19" t="str">
        <x:v>Northern Ireland / UK</x:v>
      </x:c>
      <x:c r="J48" s="19" t="str">
        <x:v>specialist outpatient</x:v>
      </x:c>
      <x:c r="K48" s="19" t="str">
        <x:v>whole-person care</x:v>
      </x:c>
      <x:c r="L48" s="19" t="str"/>
      <x:c r="M48" s="19" t="str">
        <x:v>whole-person care</x:v>
      </x:c>
      <x:c r="N48" s="19" t="str">
        <x:v>Whole person, not just the pain.</x:v>
      </x:c>
      <x:c r="O48" s="19" t="str">
        <x:v>Shows whole-person context can improve felt understanding.</x:v>
      </x:c>
      <x:c r="P48" s="19" t="str"/>
      <x:c r="Q48" s="19" t="str"/>
      <x:c r="R48" s="19" t="str"/>
      <x:c r="S48" s="19" t="str">
        <x:v>medium</x:v>
      </x:c>
      <x:c r="T48" s="19" t="str">
        <x:v>02_extracted_evidence/quotes.csv</x:v>
      </x:c>
      <x:c r="U48" s="19" t="str">
        <x:v>research_evidence_package_patient_complaints_identification_failures_2026-05-30.tar.gz::02_extracted_evidence/quotes.csv::Q019</x:v>
      </x:c>
    </x:row>
    <x:row r="49">
      <x:c r="A49" s="19" t="str">
        <x:v>C_complaints</x:v>
      </x:c>
      <x:c r="B49" s="19" t="str">
        <x:v>research_evidence_package_patient_complaints_identification_failures_2026-05-30.tar.gz</x:v>
      </x:c>
      <x:c r="C49" s="19" t="str">
        <x:v>Research C / patient complaints and identification failures</x:v>
      </x:c>
      <x:c r="D49" s="19" t="str">
        <x:v>quote</x:v>
      </x:c>
      <x:c r="E49" s="19" t="str">
        <x:v>Q020</x:v>
      </x:c>
      <x:c r="F49" s="19" t="str">
        <x:v>S039</x:v>
      </x:c>
      <x:c r="G49" s="19" t="str">
        <x:v>Health visitor support for postpartum depression/anxiety</x:v>
      </x:c>
      <x:c r="H49" s="19" t="str">
        <x:v>https://www.careopinion.org.uk/1328982</x:v>
      </x:c>
      <x:c r="I49" s="19" t="str">
        <x:v>Northern Ireland / UK</x:v>
      </x:c>
      <x:c r="J49" s="19" t="str">
        <x:v>home/community visit</x:v>
      </x:c>
      <x:c r="K49" s="19" t="str">
        <x:v>continuity</x:v>
      </x:c>
      <x:c r="L49" s="19" t="str"/>
      <x:c r="M49" s="19" t="str">
        <x:v>continuity</x:v>
      </x:c>
      <x:c r="N49" s="19" t="str">
        <x:v>I always felt listened to.</x:v>
      </x:c>
      <x:c r="O49" s="19" t="str">
        <x:v>Shows continuity and access are positive identification/support patterns.</x:v>
      </x:c>
      <x:c r="P49" s="19" t="str"/>
      <x:c r="Q49" s="19" t="str"/>
      <x:c r="R49" s="19" t="str"/>
      <x:c r="S49" s="19" t="str">
        <x:v>medium</x:v>
      </x:c>
      <x:c r="T49" s="19" t="str">
        <x:v>02_extracted_evidence/quotes.csv</x:v>
      </x:c>
      <x:c r="U49" s="19" t="str">
        <x:v>research_evidence_package_patient_complaints_identification_failures_2026-05-30.tar.gz::02_extracted_evidence/quotes.csv::Q020</x:v>
      </x:c>
    </x:row>
  </x:sheetData>
  <x:pageMargins left="0.7" right="0.7" top="0.75" bottom="0.75" header="0.3" footer="0.3"/>
  <x:tableParts count="1">
    <x:tablePart xmlns:r="http://schemas.openxmlformats.org/officeDocument/2006/relationships" r:id="Rb4d32a3fd4604e47"/>
  </x:tableParts>
</x:worksheet>
</file>