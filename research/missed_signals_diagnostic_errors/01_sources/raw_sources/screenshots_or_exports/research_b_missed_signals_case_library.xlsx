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9626ba06c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3f7473a92a84094"/>
    <x:sheet xmlns:r="http://schemas.openxmlformats.org/officeDocument/2006/relationships" name="Case Library" sheetId="2" r:id="R8dde8c7cd1254213"/>
    <x:sheet xmlns:r="http://schemas.openxmlformats.org/officeDocument/2006/relationships" name="Pattern Summary" sheetId="3" r:id="R5b45bc17395a4a91"/>
    <x:sheet xmlns:r="http://schemas.openxmlformats.org/officeDocument/2006/relationships" name="Taxonomy" sheetId="4" r:id="R3e3179379e554550"/>
    <x:sheet xmlns:r="http://schemas.openxmlformats.org/officeDocument/2006/relationships" name="Black Zones" sheetId="5" r:id="Ra5c51290dccd492e"/>
    <x:sheet xmlns:r="http://schemas.openxmlformats.org/officeDocument/2006/relationships" name="Product Opportunities" sheetId="6" r:id="R1856607a96254988"/>
    <x:sheet xmlns:r="http://schemas.openxmlformats.org/officeDocument/2006/relationships" name="Source Log" sheetId="7" r:id="Rb4f80c9808af4b6f"/>
    <x:sheet xmlns:r="http://schemas.openxmlformats.org/officeDocument/2006/relationships" name="Key Quotes" sheetId="8" r:id="R99b5169a63a8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i/>
      <x:sz val="10"/>
      <x:color rgb="334155"/>
      <x:name val="Carlito"/>
    </x:font>
    <x:font>
      <x:b/>
      <x:sz val="11"/>
      <x:color rgb="FFFFFF"/>
      <x:name val="Carlito"/>
    </x:font>
    <x:font>
      <x:sz val="9"/>
      <x:color rgb="111827"/>
      <x:name val="Carlito"/>
    </x:font>
    <x:font>
      <x:i/>
      <x:sz val="11"/>
      <x:color rgb="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75023b06d4d8d" /><Relationship Type="http://schemas.openxmlformats.org/officeDocument/2006/relationships/theme" Target="/xl/theme/theme1.xml" Id="R0f13d8c8264c4e1e" /><Relationship Type="http://schemas.openxmlformats.org/officeDocument/2006/relationships/sharedStrings" Target="/xl/sharedStrings.xml" Id="R630f9f51cdd54884" /><Relationship Type="http://schemas.openxmlformats.org/officeDocument/2006/relationships/worksheet" Target="/xl/worksheets/sheet1.xml" Id="R93f7473a92a84094" /><Relationship Type="http://schemas.openxmlformats.org/officeDocument/2006/relationships/worksheet" Target="/xl/worksheets/sheet2.xml" Id="R8dde8c7cd1254213" /><Relationship Type="http://schemas.openxmlformats.org/officeDocument/2006/relationships/worksheet" Target="/xl/worksheets/sheet3.xml" Id="R5b45bc17395a4a91" /><Relationship Type="http://schemas.openxmlformats.org/officeDocument/2006/relationships/worksheet" Target="/xl/worksheets/sheet4.xml" Id="R3e3179379e554550" /><Relationship Type="http://schemas.openxmlformats.org/officeDocument/2006/relationships/worksheet" Target="/xl/worksheets/sheet5.xml" Id="Ra5c51290dccd492e" /><Relationship Type="http://schemas.openxmlformats.org/officeDocument/2006/relationships/worksheet" Target="/xl/worksheets/sheet6.xml" Id="R1856607a96254988" /><Relationship Type="http://schemas.openxmlformats.org/officeDocument/2006/relationships/worksheet" Target="/xl/worksheets/sheet7.xml" Id="Rb4f80c9808af4b6f" /><Relationship Type="http://schemas.openxmlformats.org/officeDocument/2006/relationships/worksheet" Target="/xl/worksheets/sheet8.xml" Id="R99b5169a63a84bb1" /></Relationships>
</file>

<file path=xl/tables/table1.xml><?xml version="1.0" encoding="utf-8"?>
<x:table xmlns:x="http://schemas.openxmlformats.org/spreadsheetml/2006/main" id="1" name="ReadmeTable" displayName="ReadmeTable" ref="A4:B12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heetMapTable" displayName="SheetMapTable" ref="A16:B23" headerRowCount="1">
  <x:tableColumns count="2">
    <x:tableColumn id="1" name="Sheet"/>
    <x:tableColumn id="2" name="Contents"/>
  </x:tableColumns>
  <x:tableStyleInfo name="TableStyleMedium2" showRowStripes="1"/>
</x:table>
</file>

<file path=xl/tables/table3.xml><?xml version="1.0" encoding="utf-8"?>
<x:table xmlns:x="http://schemas.openxmlformats.org/spreadsheetml/2006/main" id="3" name="CaseLibraryTable" displayName="CaseLibraryTable" ref="A4:Y36" headerRowCount="1">
  <x:tableColumns count="25">
    <x:tableColumn id="1" name="Case ID"/>
    <x:tableColumn id="2" name="Source title"/>
    <x:tableColumn id="3" name="Source URL"/>
    <x:tableColumn id="4" name="Source type"/>
    <x:tableColumn id="5" name="Date published or accessed"/>
    <x:tableColumn id="6" name="Country/region"/>
    <x:tableColumn id="7" name="Care setting"/>
    <x:tableColumn id="8" name="Institution type"/>
    <x:tableColumn id="9" name="Patient stage"/>
    <x:tableColumn id="10" name="Condition or suspected condition"/>
    <x:tableColumn id="11" name="Original complaint / signal"/>
    <x:tableColumn id="12" name="First diagnosis or interpretation"/>
    <x:tableColumn id="13" name="What was missed or identified late"/>
    <x:tableColumn id="14" name="Delay length"/>
    <x:tableColumn id="15" name="Labs/imaging status"/>
    <x:tableColumn id="16" name="Who handled the case"/>
    <x:tableColumn id="17" name="Action taken / final discovery"/>
    <x:tableColumn id="18" name="System failure / black-zone tags"/>
    <x:tableColumn id="19" name="Patient quote, if available"/>
    <x:tableColumn id="20" name="Clinician quote, if available"/>
    <x:tableColumn id="21" name="Pain point"/>
    <x:tableColumn id="22" name="Product-design implication"/>
    <x:tableColumn id="23" name="Evidence quality"/>
    <x:tableColumn id="24" name="Fact vs interpretation"/>
    <x:tableColumn id="25" name="Notes and context"/>
  </x:tableColumns>
  <x:tableStyleInfo name="TableStyleMedium2" showRowStripes="1"/>
</x:table>
</file>

<file path=xl/tables/table4.xml><?xml version="1.0" encoding="utf-8"?>
<x:table xmlns:x="http://schemas.openxmlformats.org/spreadsheetml/2006/main" id="4" name="PatternSummaryTable" displayName="PatternSummaryTable" ref="A4:E16" headerRowCount="1">
  <x:tableColumns count="5">
    <x:tableColumn id="1" name="Failure / black-zone tag"/>
    <x:tableColumn id="2" name="Case count"/>
    <x:tableColumn id="3" name="Example case IDs"/>
    <x:tableColumn id="4" name="What it means in workflow"/>
    <x:tableColumn id="5" name="Product-design implication"/>
  </x:tableColumns>
  <x:tableStyleInfo name="TableStyleMedium2" showRowStripes="1"/>
</x:table>
</file>

<file path=xl/tables/table5.xml><?xml version="1.0" encoding="utf-8"?>
<x:table xmlns:x="http://schemas.openxmlformats.org/spreadsheetml/2006/main" id="5" name="TaxonomyTable" displayName="TaxonomyTable" ref="A4:E16" headerRowCount="1">
  <x:tableColumns count="5">
    <x:tableColumn id="1" name="Taxonomy group"/>
    <x:tableColumn id="2" name="Tag"/>
    <x:tableColumn id="3" name="Definition"/>
    <x:tableColumn id="4" name="Common signal"/>
    <x:tableColumn id="5" name="Example case IDs"/>
  </x:tableColumns>
  <x:tableStyleInfo name="TableStyleMedium2" showRowStripes="1"/>
</x:table>
</file>

<file path=xl/tables/table6.xml><?xml version="1.0" encoding="utf-8"?>
<x:table xmlns:x="http://schemas.openxmlformats.org/spreadsheetml/2006/main" id="6" name="BlackZonesTable" displayName="BlackZonesTable" ref="A4:E18" headerRowCount="1">
  <x:tableColumns count="5">
    <x:tableColumn id="1" name="Patient stage"/>
    <x:tableColumn id="2" name="Black-zone example"/>
    <x:tableColumn id="3" name="Case IDs"/>
    <x:tableColumn id="4" name="What got lost"/>
    <x:tableColumn id="5" name="Design affordance"/>
  </x:tableColumns>
  <x:tableStyleInfo name="TableStyleMedium2" showRowStripes="1"/>
</x:table>
</file>

<file path=xl/tables/table7.xml><?xml version="1.0" encoding="utf-8"?>
<x:table xmlns:x="http://schemas.openxmlformats.org/spreadsheetml/2006/main" id="7" name="ProductOpportunitiesTable" displayName="ProductOpportunitiesTable" ref="A4:F16" headerRowCount="1">
  <x:tableColumns count="6">
    <x:tableColumn id="1" name="Opportunity"/>
    <x:tableColumn id="2" name="Workflow stage"/>
    <x:tableColumn id="3" name="Trigger/signal"/>
    <x:tableColumn id="4" name="Product concept"/>
    <x:tableColumn id="5" name="Evidence cases"/>
    <x:tableColumn id="6" name="Risk / guardrail"/>
  </x:tableColumns>
  <x:tableStyleInfo name="TableStyleMedium2" showRowStripes="1"/>
</x:table>
</file>

<file path=xl/tables/table8.xml><?xml version="1.0" encoding="utf-8"?>
<x:table xmlns:x="http://schemas.openxmlformats.org/spreadsheetml/2006/main" id="8" name="SourceLogTable" displayName="SourceLogTable" ref="A4:H19" headerRowCount="1">
  <x:tableColumns count="8">
    <x:tableColumn id="1" name="Source ID"/>
    <x:tableColumn id="2" name="Source title"/>
    <x:tableColumn id="3" name="Source URL"/>
    <x:tableColumn id="4" name="Source type"/>
    <x:tableColumn id="5" name="Date"/>
    <x:tableColumn id="6" name="Country/region"/>
    <x:tableColumn id="7" name="Scope / cases used"/>
    <x:tableColumn id="8" name="Evidence quality note"/>
  </x:tableColumns>
  <x:tableStyleInfo name="TableStyleMedium2" showRowStripes="1"/>
</x:table>
</file>

<file path=xl/tables/table9.xml><?xml version="1.0" encoding="utf-8"?>
<x:table xmlns:x="http://schemas.openxmlformats.org/spreadsheetml/2006/main" id="9" name="KeyQuotesTable" displayName="KeyQuotesTable" ref="A4:E11" headerRowCount="1">
  <x:tableColumns count="5">
    <x:tableColumn id="1" name="Case ID"/>
    <x:tableColumn id="2" name="Quote type"/>
    <x:tableColumn id="3" name="Short quote / public phrase"/>
    <x:tableColumn id="4" name="Context"/>
    <x:tableColumn id="5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b31fd6d944ff7" /><Relationship Type="http://schemas.openxmlformats.org/officeDocument/2006/relationships/table" Target="/xl/tables/table2.xml" Id="Rc14e7b6add184f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126508693e4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27ac9e2b4274b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4e46040d37742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4de747895524e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5d0e16bc511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5a3b53caf9244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328dcfe537d446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28" customHeight="1">
      <x:c r="A1" s="32" t="str">
        <x:v>Research B: Missed signals, diagnostic errors, and late discovery cases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32" customHeight="1">
      <x:c r="A2" s="12" t="str">
        <x:v>Research pack created for real-world workflows. Facts are in the case/source columns; product implications are interpretive design notes.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</x:row>
    <x:row r="4" ht="30" customHeight="1">
      <x:c r="A4" s="20" t="str">
        <x:v>Item</x:v>
      </x:c>
      <x:c r="B4" s="20" t="str">
        <x:v>Value</x:v>
      </x:c>
      <x:c r="C4" s="33"/>
      <x:c r="D4" s="33"/>
      <x:c r="E4" s="33"/>
      <x:c r="F4" s="33"/>
      <x:c r="G4" s="33"/>
      <x:c r="H4" s="33"/>
      <x:c r="I4" s="33"/>
      <x:c r="J4" s="33"/>
    </x:row>
    <x:row r="5">
      <x:c r="A5" s="28" t="str">
        <x:v>Workbook created</x:v>
      </x:c>
      <x:c r="B5" s="28" t="str">
        <x:v>Accessed 2026-05-30</x:v>
      </x:c>
      <x:c r="C5" s="33"/>
      <x:c r="D5" s="33"/>
      <x:c r="E5" s="33"/>
      <x:c r="F5" s="33"/>
      <x:c r="G5" s="33"/>
      <x:c r="H5" s="33"/>
      <x:c r="I5" s="33"/>
      <x:c r="J5" s="33"/>
    </x:row>
    <x:row r="6">
      <x:c r="A6" s="28" t="str">
        <x:v>Research scope</x:v>
      </x:c>
      <x:c r="B6" s="28" t="str">
        <x:v>Real cases, patient-safety investigations, qualitative/public-health studies, and public patient narratives.</x:v>
      </x:c>
      <x:c r="C6" s="33"/>
      <x:c r="D6" s="33"/>
      <x:c r="E6" s="33"/>
      <x:c r="F6" s="33"/>
      <x:c r="G6" s="33"/>
      <x:c r="H6" s="33"/>
      <x:c r="I6" s="33"/>
      <x:c r="J6" s="33"/>
    </x:row>
    <x:row r="7">
      <x:c r="A7" s="28" t="str">
        <x:v>How to use</x:v>
      </x:c>
      <x:c r="B7" s="28" t="str">
        <x:v>Filter Case Library by country, setting, stage, condition, tag, or evidence quality. Use Pattern Summary and Black Zones for synthesis.</x:v>
      </x:c>
      <x:c r="C7" s="33"/>
      <x:c r="D7" s="33"/>
      <x:c r="E7" s="33"/>
      <x:c r="F7" s="33"/>
      <x:c r="G7" s="33"/>
      <x:c r="H7" s="33"/>
      <x:c r="I7" s="33"/>
      <x:c r="J7" s="33"/>
    </x:row>
    <x:row r="8">
      <x:c r="A8" s="28" t="str">
        <x:v>Interpretation rule</x:v>
      </x:c>
      <x:c r="B8" s="28" t="str">
        <x:v>Case facts are sourced. Product-design implication columns are inferred from the documented workflow failures.</x:v>
      </x:c>
      <x:c r="C8" s="33"/>
      <x:c r="D8" s="33"/>
      <x:c r="E8" s="33"/>
      <x:c r="F8" s="33"/>
      <x:c r="G8" s="33"/>
      <x:c r="H8" s="33"/>
      <x:c r="I8" s="33"/>
      <x:c r="J8" s="33"/>
    </x:row>
    <x:row r="9">
      <x:c r="A9" s="28" t="str">
        <x:v>Total findings</x:v>
      </x:c>
      <x:c r="B9" s="28" t="n">
        <x:f>COUNTA('Case Library'!$A$5:$A$200)</x:f>
        <x:v>32</x:v>
      </x:c>
      <x:c r="C9" s="33"/>
      <x:c r="D9" s="33"/>
      <x:c r="E9" s="33"/>
      <x:c r="F9" s="33"/>
      <x:c r="G9" s="33"/>
      <x:c r="H9" s="33"/>
      <x:c r="I9" s="33"/>
      <x:c r="J9" s="33"/>
    </x:row>
    <x:row r="10">
      <x:c r="A10" s="28" t="str">
        <x:v>High-evidence findings</x:v>
      </x:c>
      <x:c r="B10" s="28" t="n">
        <x:f>COUNTIF('Case Library'!$W:$W,"high")</x:f>
        <x:v>21</x:v>
      </x:c>
      <x:c r="C10" s="33"/>
      <x:c r="D10" s="33"/>
      <x:c r="E10" s="33"/>
      <x:c r="F10" s="33"/>
      <x:c r="G10" s="33"/>
      <x:c r="H10" s="33"/>
      <x:c r="I10" s="33"/>
      <x:c r="J10" s="33"/>
    </x:row>
    <x:row r="11">
      <x:c r="A11" s="28" t="str">
        <x:v>Medium-evidence findings</x:v>
      </x:c>
      <x:c r="B11" s="28" t="n">
        <x:f>COUNTIF('Case Library'!$W:$W,"medium")</x:f>
        <x:v>9</x:v>
      </x:c>
      <x:c r="C11" s="33"/>
      <x:c r="D11" s="33"/>
      <x:c r="E11" s="33"/>
      <x:c r="F11" s="33"/>
      <x:c r="G11" s="33"/>
      <x:c r="H11" s="33"/>
      <x:c r="I11" s="33"/>
      <x:c r="J11" s="33"/>
    </x:row>
    <x:row r="12">
      <x:c r="A12" s="28" t="str">
        <x:v>Low-evidence findings</x:v>
      </x:c>
      <x:c r="B12" s="28" t="n">
        <x:f>COUNTIF('Case Library'!$W:$W,"low")</x:f>
        <x:v>2</x:v>
      </x:c>
      <x:c r="C12" s="33"/>
      <x:c r="D12" s="33"/>
      <x:c r="E12" s="33"/>
      <x:c r="F12" s="33"/>
      <x:c r="G12" s="33"/>
      <x:c r="H12" s="33"/>
      <x:c r="I12" s="33"/>
      <x:c r="J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</x:row>
    <x:row r="15" ht="30" customHeight="1">
      <x:c r="A15" s="20" t="str">
        <x:v>Sheet map</x:v>
      </x:c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 ht="30" customHeight="1">
      <x:c r="A16" s="20" t="str">
        <x:v>Sheet</x:v>
      </x:c>
      <x:c r="B16" s="20" t="str">
        <x:v>Contents</x:v>
      </x:c>
      <x:c r="C16" s="33"/>
      <x:c r="D16" s="33"/>
      <x:c r="E16" s="33"/>
      <x:c r="F16" s="33"/>
      <x:c r="G16" s="33"/>
      <x:c r="H16" s="33"/>
      <x:c r="I16" s="33"/>
      <x:c r="J16" s="33"/>
    </x:row>
    <x:row r="17">
      <x:c r="A17" s="28" t="str">
        <x:v>Case Library</x:v>
      </x:c>
      <x:c r="B17" s="28" t="str">
        <x:v>32 tagged case/pattern rows with source URL, setting, stage, condition, missed signal, lab/imaging status, quote fields, pain point, and design implication.</x:v>
      </x:c>
      <x:c r="C17" s="33"/>
      <x:c r="D17" s="33"/>
      <x:c r="E17" s="33"/>
      <x:c r="F17" s="33"/>
      <x:c r="G17" s="33"/>
      <x:c r="H17" s="33"/>
      <x:c r="I17" s="33"/>
      <x:c r="J17" s="33"/>
    </x:row>
    <x:row r="18">
      <x:c r="A18" s="28" t="str">
        <x:v>Pattern Summary</x:v>
      </x:c>
      <x:c r="B18" s="28" t="str">
        <x:v>Formula-driven counts for repeated failure tags plus examples and design implications.</x:v>
      </x:c>
      <x:c r="C18" s="33"/>
      <x:c r="D18" s="33"/>
      <x:c r="E18" s="33"/>
      <x:c r="F18" s="33"/>
      <x:c r="G18" s="33"/>
      <x:c r="H18" s="33"/>
      <x:c r="I18" s="33"/>
      <x:c r="J18" s="33"/>
    </x:row>
    <x:row r="19">
      <x:c r="A19" s="28" t="str">
        <x:v>Taxonomy</x:v>
      </x:c>
      <x:c r="B19" s="28" t="str">
        <x:v>Reusable missed-signal taxonomy grouped by cognitive closure, signal fragmentation, result management, transitions, patient voice, equity/resource failure, and rare disease.</x:v>
      </x:c>
      <x:c r="C19" s="33"/>
      <x:c r="D19" s="33"/>
      <x:c r="E19" s="33"/>
      <x:c r="F19" s="33"/>
      <x:c r="G19" s="33"/>
      <x:c r="H19" s="33"/>
      <x:c r="I19" s="33"/>
      <x:c r="J19" s="33"/>
    </x:row>
    <x:row r="20">
      <x:c r="A20" s="28" t="str">
        <x:v>Black Zones</x:v>
      </x:c>
      <x:c r="B20" s="28" t="str">
        <x:v>Patient-stage examples showing where important signals get lost and possible product affordances.</x:v>
      </x:c>
      <x:c r="C20" s="33"/>
      <x:c r="D20" s="33"/>
      <x:c r="E20" s="33"/>
      <x:c r="F20" s="33"/>
      <x:c r="G20" s="33"/>
      <x:c r="H20" s="33"/>
      <x:c r="I20" s="33"/>
      <x:c r="J20" s="33"/>
    </x:row>
    <x:row r="21">
      <x:c r="A21" s="28" t="str">
        <x:v>Product Opportunities</x:v>
      </x:c>
      <x:c r="B21" s="28" t="str">
        <x:v>Synthesis of product concepts tied to specific evidence cases and guardrails.</x:v>
      </x:c>
      <x:c r="C21" s="33"/>
      <x:c r="D21" s="33"/>
      <x:c r="E21" s="33"/>
      <x:c r="F21" s="33"/>
      <x:c r="G21" s="33"/>
      <x:c r="H21" s="33"/>
      <x:c r="I21" s="33"/>
      <x:c r="J21" s="33"/>
    </x:row>
    <x:row r="22">
      <x:c r="A22" s="28" t="str">
        <x:v>Source Log</x:v>
      </x:c>
      <x:c r="B22" s="28" t="str">
        <x:v>Source inventory with URLs, dates, source types, evidence notes.</x:v>
      </x:c>
      <x:c r="C22" s="33"/>
      <x:c r="D22" s="33"/>
      <x:c r="E22" s="33"/>
      <x:c r="F22" s="33"/>
      <x:c r="G22" s="33"/>
      <x:c r="H22" s="33"/>
      <x:c r="I22" s="33"/>
      <x:c r="J22" s="33"/>
    </x:row>
    <x:row r="23">
      <x:c r="A23" s="28" t="str">
        <x:v>Key Quotes</x:v>
      </x:c>
      <x:c r="B23" s="28" t="str">
        <x:v>Short public quotes/phrases useful for patient/clinician voice without excess copying.</x:v>
      </x:c>
      <x:c r="C23" s="33"/>
      <x:c r="D23" s="33"/>
      <x:c r="E23" s="33"/>
      <x:c r="F23" s="33"/>
      <x:c r="G23" s="33"/>
      <x:c r="H23" s="33"/>
      <x:c r="I23" s="33"/>
      <x:c r="J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</x:row>
  </x:sheetData>
  <x:mergeCells>
    <x:mergeCell ref="A1:J1"/>
    <x:mergeCell ref="A2:J2"/>
    <x:mergeCell ref="A15:J15"/>
  </x:mergeCells>
  <x:pageMargins left="0.7" right="0.7" top="0.75" bottom="0.75" header="0.3" footer="0.3"/>
  <x:tableParts count="2">
    <x:tablePart xmlns:r="http://schemas.openxmlformats.org/officeDocument/2006/relationships" r:id="Rad4b31fd6d944ff7"/>
    <x:tablePart xmlns:r="http://schemas.openxmlformats.org/officeDocument/2006/relationships" r:id="Rc14e7b6add184f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4" hidden="0" customWidth="1"/>
    <x:col min="4" max="4" width="26" hidden="0" customWidth="1"/>
    <x:col min="5" max="5" width="18" hidden="0" customWidth="1"/>
    <x:col min="6" max="6" width="20" hidden="0" customWidth="1"/>
    <x:col min="7" max="7" width="24" hidden="0" customWidth="1"/>
    <x:col min="8" max="8" width="24" hidden="0" customWidth="1"/>
    <x:col min="9" max="9" width="30" hidden="0" customWidth="1"/>
    <x:col min="10" max="10" width="30" hidden="0" customWidth="1"/>
    <x:col min="11" max="11" width="42" hidden="0" customWidth="1"/>
    <x:col min="12" max="12" width="38" hidden="0" customWidth="1"/>
    <x:col min="13" max="13" width="48" hidden="0" customWidth="1"/>
    <x:col min="14" max="14" width="20" hidden="0" customWidth="1"/>
    <x:col min="15" max="15" width="36" hidden="0" customWidth="1"/>
    <x:col min="16" max="16" width="34" hidden="0" customWidth="1"/>
    <x:col min="17" max="17" width="42" hidden="0" customWidth="1"/>
    <x:col min="18" max="18" width="44" hidden="0" customWidth="1"/>
    <x:col min="19" max="19" width="34" hidden="0" customWidth="1"/>
    <x:col min="20" max="20" width="34" hidden="0" customWidth="1"/>
    <x:col min="21" max="21" width="42" hidden="0" customWidth="1"/>
    <x:col min="22" max="22" width="48" hidden="0" customWidth="1"/>
    <x:col min="23" max="23" width="14" hidden="0" customWidth="1"/>
    <x:col min="24" max="24" width="28" hidden="0" customWidth="1"/>
    <x:col min="25" max="25" width="46" hidden="0" customWidth="1"/>
  </x:cols>
  <x:sheetData>
    <x:row r="1" ht="28" customHeight="1">
      <x:c r="A1" s="5" t="str">
        <x:v>Case-study library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32" customHeight="1">
      <x:c r="A2" s="12" t="str">
        <x:v>Each row is a documented case or real-world pattern. URLs are retained in-column for source logging and traceability.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 ht="24" customHeight="1">
      <x:c r="A3" s="38" t="str">
        <x:v>Privacy note: only public source details are included; patient identifiers beyond source-public context are omitted or generalized.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</x:row>
    <x:row r="4" ht="30" customHeight="1">
      <x:c r="A4" s="20" t="str">
        <x:v>Case ID</x:v>
      </x:c>
      <x:c r="B4" s="20" t="str">
        <x:v>Source title</x:v>
      </x:c>
      <x:c r="C4" s="20" t="str">
        <x:v>Source URL</x:v>
      </x:c>
      <x:c r="D4" s="20" t="str">
        <x:v>Source type</x:v>
      </x:c>
      <x:c r="E4" s="20" t="str">
        <x:v>Date published or accessed</x:v>
      </x:c>
      <x:c r="F4" s="20" t="str">
        <x:v>Country/region</x:v>
      </x:c>
      <x:c r="G4" s="20" t="str">
        <x:v>Care setting</x:v>
      </x:c>
      <x:c r="H4" s="20" t="str">
        <x:v>Institution type</x:v>
      </x:c>
      <x:c r="I4" s="20" t="str">
        <x:v>Patient stage</x:v>
      </x:c>
      <x:c r="J4" s="20" t="str">
        <x:v>Condition or suspected condition</x:v>
      </x:c>
      <x:c r="K4" s="20" t="str">
        <x:v>Original complaint / signal</x:v>
      </x:c>
      <x:c r="L4" s="20" t="str">
        <x:v>First diagnosis or interpretation</x:v>
      </x:c>
      <x:c r="M4" s="20" t="str">
        <x:v>What was missed or identified late</x:v>
      </x:c>
      <x:c r="N4" s="20" t="str">
        <x:v>Delay length</x:v>
      </x:c>
      <x:c r="O4" s="20" t="str">
        <x:v>Labs/imaging status</x:v>
      </x:c>
      <x:c r="P4" s="20" t="str">
        <x:v>Who handled the case</x:v>
      </x:c>
      <x:c r="Q4" s="20" t="str">
        <x:v>Action taken / final discovery</x:v>
      </x:c>
      <x:c r="R4" s="20" t="str">
        <x:v>System failure / black-zone tags</x:v>
      </x:c>
      <x:c r="S4" s="20" t="str">
        <x:v>Patient quote, if available</x:v>
      </x:c>
      <x:c r="T4" s="20" t="str">
        <x:v>Clinician quote, if available</x:v>
      </x:c>
      <x:c r="U4" s="20" t="str">
        <x:v>Pain point</x:v>
      </x:c>
      <x:c r="V4" s="20" t="str">
        <x:v>Product-design implication</x:v>
      </x:c>
      <x:c r="W4" s="20" t="str">
        <x:v>Evidence quality</x:v>
      </x:c>
      <x:c r="X4" s="20" t="str">
        <x:v>Fact vs interpretation</x:v>
      </x:c>
      <x:c r="Y4" s="20" t="str">
        <x:v>Notes and context</x:v>
      </x:c>
    </x:row>
    <x:row r="5" ht="72" customHeight="1">
      <x:c r="A5" s="28" t="str">
        <x:v>B-001</x:v>
      </x:c>
      <x:c r="B5" s="28" t="str">
        <x:v>Anemia and Delayed Colon Cancer Diagnosis</x:v>
      </x:c>
      <x:c r="C5" s="28" t="str">
        <x:v>https://psnet.ahrq.gov/web-mm/anemia-and-delayed-colon-cancer-diagnosis</x:v>
      </x:c>
      <x:c r="D5" s="28" t="str">
        <x:v>AHRQ PSNet WebM&amp;M case analysis</x:v>
      </x:c>
      <x:c r="E5" s="28" t="str">
        <x:v>2019-08-10</x:v>
      </x:c>
      <x:c r="F5" s="28" t="str">
        <x:v>United States</x:v>
      </x:c>
      <x:c r="G5" s="28" t="str">
        <x:v>primary care; specialist clinic; hospital inpatient</x:v>
      </x:c>
      <x:c r="H5" s="28" t="str">
        <x:v>ambulatory primary care + GI</x:v>
      </x:c>
      <x:c r="I5" s="28" t="str">
        <x:v>medical history; labs ordered; lab interpretation; referral; repeat visit</x:v>
      </x:c>
      <x:c r="J5" s="28" t="str">
        <x:v>Colon cancer after iron-deficiency anemia</x:v>
      </x:c>
      <x:c r="K5" s="28" t="str">
        <x:v>Elderly man with chronic mild iron-deficiency anemia; prior colonoscopy was normal 2 years earlier.</x:v>
      </x:c>
      <x:c r="L5" s="28" t="str">
        <x:v>Anemia attributed partly to anticoagulation and a recent normal colonoscopy; upper endoscopy/capsule pursued before repeat colonoscopy.</x:v>
      </x:c>
      <x:c r="M5" s="28" t="str">
        <x:v>Need for repeat diagnostic colonoscopy despite prior normal screening exam; colon cancer found after obstruction.</x:v>
      </x:c>
      <x:c r="N5" s="28" t="str">
        <x:v>Nearly 2 years</x:v>
      </x:c>
      <x:c r="O5" s="28" t="str">
        <x:v>Hemoglobin trended down/up/down; EGD and capsule normal; colonoscopy delayed.</x:v>
      </x:c>
      <x:c r="P5" s="28" t="str">
        <x:v>Primary care physician; gastroenterologist</x:v>
      </x:c>
      <x:c r="Q5" s="28" t="str">
        <x:v>Bowel obstruction led to hospitalization and colon cancer diagnosis.</x:v>
      </x:c>
      <x:c r="R5" s="28" t="str">
        <x:v>normal-test trap; lab trend missed; no one connected the dots; referral delay; anchoring; repeat visit escalation failure</x:v>
      </x:c>
      <x:c r="S5" s="28" t="str"/>
      <x:c r="T5" s="28" t="str"/>
      <x:c r="U5" s="28" t="str">
        <x:v>Prior normal test created false reassurance while anemia persisted.</x:v>
      </x:c>
      <x:c r="V5" s="28" t="str">
        <x:v>Build longitudinal anemia trend + prior-normal-test guardrail that asks: does this old test still explain today's signal?</x:v>
      </x:c>
      <x:c r="W5" s="28" t="str">
        <x:v>high</x:v>
      </x:c>
      <x:c r="X5" s="28" t="str">
        <x:v>Facts from source; product column is interpretation</x:v>
      </x:c>
      <x:c r="Y5" s="28" t="str">
        <x:v>Diagnostic vs screening colonoscopy distinction matters in symptomatic elderly patients.</x:v>
      </x:c>
    </x:row>
    <x:row r="6" ht="72" customHeight="1">
      <x:c r="A6" s="28" t="str">
        <x:v>B-002</x:v>
      </x:c>
      <x:c r="B6" s="28" t="str">
        <x:v>Endometriosis: A Common and Commonly Missed and Delayed Diagnosis</x:v>
      </x:c>
      <x:c r="C6" s="28" t="str">
        <x:v>https://psnet.ahrq.gov/web-mm/endometriosis-common-and-commonly-missed-and-delayed-diagnosis</x:v>
      </x:c>
      <x:c r="D6" s="28" t="str">
        <x:v>AHRQ PSNet WebM&amp;M case analysis</x:v>
      </x:c>
      <x:c r="E6" s="28" t="str">
        <x:v>2020-06-24</x:v>
      </x:c>
      <x:c r="F6" s="28" t="str">
        <x:v>United States</x:v>
      </x:c>
      <x:c r="G6" s="28" t="str">
        <x:v>primary care; specialist clinic; hospital outpatient</x:v>
      </x:c>
      <x:c r="H6" s="28" t="str">
        <x:v>primary care + GI + OB/GYN</x:v>
      </x:c>
      <x:c r="I6" s="28" t="str">
        <x:v>medical history; first clinician assessment; referral; specialist review</x:v>
      </x:c>
      <x:c r="J6" s="28" t="str">
        <x:v>Endometriosis</x:v>
      </x:c>
      <x:c r="K6" s="28" t="str">
        <x:v>Teenage onset disabling menstrual cramps and heavy bleeding; later GI symptoms and bowel complaints.</x:v>
      </x:c>
      <x:c r="L6" s="28" t="str">
        <x:v>Bad periods, IBS-D, psychological explanation; gynecologist did not pursue endometriosis until much later.</x:v>
      </x:c>
      <x:c r="M6" s="28" t="str">
        <x:v>Persistent dysmenorrhea and bowel/gynecologic symptom pattern; endometriosis found at appendectomy and laparoscopy.</x:v>
      </x:c>
      <x:c r="N6" s="28" t="str">
        <x:v>12 years</x:v>
      </x:c>
      <x:c r="O6" s="28" t="str">
        <x:v>Colonoscopy found tortuous bowel; appendectomy showed endometriosis; laparoscopy confirmed.</x:v>
      </x:c>
      <x:c r="P6" s="28" t="str">
        <x:v>Primary care physician; gastroenterologist; gynecologist; surgeon</x:v>
      </x:c>
      <x:c r="Q6" s="28" t="str">
        <x:v>Incidental appendectomy pathology plus later laparoscopy/excision confirmed diagnosis.</x:v>
      </x:c>
      <x:c r="R6" s="28" t="str">
        <x:v>symptom dismissed; chronic illness invalidation; wrong specialty; no one connected the dots; patient self-advocacy required; bias or minimization; rare disease delay</x:v>
      </x:c>
      <x:c r="S6" s="28" t="str">
        <x:v>Source reports she felt made to feel 'she was crazy.'</x:v>
      </x:c>
      <x:c r="T6" s="28" t="str"/>
      <x:c r="U6" s="28" t="str">
        <x:v>Severe cyclic pain normalized and split between GI and gynecology.</x:v>
      </x:c>
      <x:c r="V6" s="28" t="str">
        <x:v>Create menstrual + GI timeline capture, severity thresholds, and cross-specialty prompts for persistent dysmenorrhea.</x:v>
      </x:c>
      <x:c r="W6" s="28" t="str">
        <x:v>high</x:v>
      </x:c>
      <x:c r="X6" s="28" t="str">
        <x:v>Facts from source; product column is interpretation</x:v>
      </x:c>
      <x:c r="Y6" s="28" t="str">
        <x:v>Case shows patient and mother advocacy as a diagnostic driver.</x:v>
      </x:c>
    </x:row>
    <x:row r="7" ht="72" customHeight="1">
      <x:c r="A7" s="28" t="str">
        <x:v>B-003</x:v>
      </x:c>
      <x:c r="B7" s="28" t="str">
        <x:v>Paroxysmal Supraventricular Tachycardia Masquerading as Panic Attacks</x:v>
      </x:c>
      <x:c r="C7" s="28" t="str">
        <x:v>https://psnet.ahrq.gov/web-mm/paroxysmal-supraventricular-tachycardia-masquerading-panic-attacks</x:v>
      </x:c>
      <x:c r="D7" s="28" t="str">
        <x:v>AHRQ PSNet WebM&amp;M case analysis</x:v>
      </x:c>
      <x:c r="E7" s="28" t="str">
        <x:v>2021-06-30</x:v>
      </x:c>
      <x:c r="F7" s="28" t="str">
        <x:v>United States</x:v>
      </x:c>
      <x:c r="G7" s="28" t="str">
        <x:v>emergency department; primary care; specialist clinic</x:v>
      </x:c>
      <x:c r="H7" s="28" t="str">
        <x:v>ED + primary care + cardiology</x:v>
      </x:c>
      <x:c r="I7" s="28" t="str">
        <x:v>first clinician assessment; labs/imaging interpretation; referral; repeat visit</x:v>
      </x:c>
      <x:c r="J7" s="28" t="str">
        <x:v>Paroxysmal supraventricular tachycardia (PSVT)</x:v>
      </x:c>
      <x:c r="K7" s="28" t="str">
        <x:v>Episodic wooziness, white-out vision, racing heart lasting 5-15 minutes since age 16.</x:v>
      </x:c>
      <x:c r="L7" s="28" t="str">
        <x:v>Stress, panic attacks, anxiety; normal resting ECG and symptom-free Holter lowered suspicion.</x:v>
      </x:c>
      <x:c r="M7" s="28" t="str">
        <x:v>Intermittent arrhythmia not captured; treadmill ECG later documented PSVT around 230 bpm.</x:v>
      </x:c>
      <x:c r="N7" s="28" t="str">
        <x:v>More than 20 years</x:v>
      </x:c>
      <x:c r="O7" s="28" t="str">
        <x:v>Resting ECG normal; Holter did not capture episode; treadmill ECG captured arrhythmia.</x:v>
      </x:c>
      <x:c r="P7" s="28" t="str">
        <x:v>ED clinicians; primary care physician; psychiatrist; cardiologist</x:v>
      </x:c>
      <x:c r="Q7" s="28" t="str">
        <x:v>Treadmill ECG captured tachyarrhythmia; cardiology diagnosed PSVT.</x:v>
      </x:c>
      <x:c r="R7" s="28" t="str">
        <x:v>mental-health misattribution; normal-test trap; symptom dismissed; wrong specialty; patient self-advocacy required; gender bias</x:v>
      </x:c>
      <x:c r="S7" s="28" t="str">
        <x:v>Patient explicitly asked if it could be a heart rhythm problem.</x:v>
      </x:c>
      <x:c r="T7" s="28" t="str"/>
      <x:c r="U7" s="28" t="str">
        <x:v>Intermittent conditions can disappear during testing and become labeled psychiatric.</x:v>
      </x:c>
      <x:c r="V7" s="28" t="str">
        <x:v>Offer event-triggered monitoring workflows and a 'normal when asymptomatic' warning for episodic cardiopulmonary complaints.</x:v>
      </x:c>
      <x:c r="W7" s="28" t="str">
        <x:v>high</x:v>
      </x:c>
      <x:c r="X7" s="28" t="str">
        <x:v>Facts from source; product column is interpretation</x:v>
      </x:c>
      <x:c r="Y7" s="28" t="str">
        <x:v>Source notes PSVT symptoms are often attributed to panic/anxiety, especially in women.</x:v>
      </x:c>
    </x:row>
    <x:row r="8" ht="72" customHeight="1">
      <x:c r="A8" s="28" t="str">
        <x:v>B-004</x:v>
      </x:c>
      <x:c r="B8" s="28" t="str">
        <x:v>Spinal Epidural Abscess</x:v>
      </x:c>
      <x:c r="C8" s="28" t="str">
        <x:v>https://psnet.ahrq.gov/web-mm/spinal-epidural-abscess</x:v>
      </x:c>
      <x:c r="D8" s="28" t="str">
        <x:v>AHRQ PSNet WebM&amp;M case analysis</x:v>
      </x:c>
      <x:c r="E8" s="28" t="str">
        <x:v>2019-08-08</x:v>
      </x:c>
      <x:c r="F8" s="28" t="str">
        <x:v>United States</x:v>
      </x:c>
      <x:c r="G8" s="28" t="str">
        <x:v>emergency department; specialist clinic; hospital inpatient</x:v>
      </x:c>
      <x:c r="H8" s="28" t="str">
        <x:v>ED + orthopedics + neurosurgery</x:v>
      </x:c>
      <x:c r="I8" s="28" t="str">
        <x:v>first clinician assessment; imaging ordered; imaging interpretation; repeat visit; emergency escalation</x:v>
      </x:c>
      <x:c r="J8" s="28" t="str">
        <x:v>Spinal epidural abscess</x:v>
      </x:c>
      <x:c r="K8" s="28" t="str">
        <x:v>Progressive severe back pain in woman with prior spine surgery.</x:v>
      </x:c>
      <x:c r="L8" s="28" t="str">
        <x:v>Degenerative joint disease/disc herniation based on lumbar MRI; outpatient PT and medications.</x:v>
      </x:c>
      <x:c r="M8" s="28" t="str">
        <x:v>Thoracic epidural abscess above initial imaging field; evolving fever, inability to walk, leukocytosis, organ failure.</x:v>
      </x:c>
      <x:c r="N8" s="28" t="str">
        <x:v>10 days to emergency discovery</x:v>
      </x:c>
      <x:c r="O8" s="28" t="str">
        <x:v>Initial lumbar MRI covered only T11-S1 and missed thoracic T6-T10 abscess.</x:v>
      </x:c>
      <x:c r="P8" s="28" t="str">
        <x:v>ED physician; orthopedic surgeon; neurosurgeon</x:v>
      </x:c>
      <x:c r="Q8" s="28" t="str">
        <x:v>Second ED visit and thoracic MRI revealed abscess; emergency surgery performed.</x:v>
      </x:c>
      <x:c r="R8" s="28" t="str">
        <x:v>red flag missed; wrong imaging scope; normal-test trap; repeat visit escalation failure; no one connected the dots</x:v>
      </x:c>
      <x:c r="S8" s="28" t="str"/>
      <x:c r="T8" s="28" t="str"/>
      <x:c r="U8" s="28" t="str">
        <x:v>Imaging a local region created false closure while symptoms progressed.</x:v>
      </x:c>
      <x:c r="V8" s="28" t="str">
        <x:v>Add imaging-scope alerts: negative limited MRI should not close diagnosis when pain/red flags are anatomically discordant.</x:v>
      </x:c>
      <x:c r="W8" s="28" t="str">
        <x:v>high</x:v>
      </x:c>
      <x:c r="X8" s="28" t="str">
        <x:v>Facts from source; product column is interpretation</x:v>
      </x:c>
      <x:c r="Y8" s="28" t="str">
        <x:v>Classic SEA triad is often absent early; severe/progressive symptoms matter.</x:v>
      </x:c>
    </x:row>
    <x:row r="9" ht="72" customHeight="1">
      <x:c r="A9" s="28" t="str">
        <x:v>B-005</x:v>
      </x:c>
      <x:c r="B9" s="28" t="str">
        <x:v>Renal Failure Due to Benign Prostatic Hyperplasia</x:v>
      </x:c>
      <x:c r="C9" s="28" t="str">
        <x:v>https://psnet.ahrq.gov/web-mm/renal-failure-due-benign-prostatic-hyperplasia</x:v>
      </x:c>
      <x:c r="D9" s="28" t="str">
        <x:v>AHRQ PSNet WebM&amp;M case analysis</x:v>
      </x:c>
      <x:c r="E9" s="28" t="str">
        <x:v>2019-08-10</x:v>
      </x:c>
      <x:c r="F9" s="28" t="str">
        <x:v>United States</x:v>
      </x:c>
      <x:c r="G9" s="28" t="str">
        <x:v>primary care; specialist clinic; emergency department</x:v>
      </x:c>
      <x:c r="H9" s="28" t="str">
        <x:v>primary care + urology + ED</x:v>
      </x:c>
      <x:c r="I9" s="28" t="str">
        <x:v>medical history; specialist review; labs ordered; follow-up; emergency escalation</x:v>
      </x:c>
      <x:c r="J9" s="28" t="str">
        <x:v>Obstructive uropathy / renal failure from BPH</x:v>
      </x:c>
      <x:c r="K9" s="28" t="str">
        <x:v>Five-year lower urinary tract symptoms, high post-void residual, dizziness/headache later.</x:v>
      </x:c>
      <x:c r="L9" s="28" t="str">
        <x:v>Urology visit focused on PSA and surgical assumptions; incomplete follow-up and no early creatinine response to high residual.</x:v>
      </x:c>
      <x:c r="M9" s="28" t="str">
        <x:v>Post-void residual of 500 mL plus obstruction risk; creatinine 14.9 and 2L bladder drainage later.</x:v>
      </x:c>
      <x:c r="N9" s="28" t="str">
        <x:v>10 weeks after urology visit; years of symptoms</x:v>
      </x:c>
      <x:c r="O9" s="28" t="str">
        <x:v>Bladder scan 999 mL / 500 mL postvoid; creatinine not addressed until hypertensive crisis.</x:v>
      </x:c>
      <x:c r="P9" s="28" t="str">
        <x:v>Primary care physician; urology physician assistant; ED clinicians</x:v>
      </x:c>
      <x:c r="Q9" s="28" t="str">
        <x:v>ED catheterization drained 2L; hospitalization and later TURP.</x:v>
      </x:c>
      <x:c r="R9" s="28" t="str">
        <x:v>red flag missed; referral breakdown; no follow-up ownership; doctor did not listen; abnormal result not followed up; poor patient-clinician interaction</x:v>
      </x:c>
      <x:c r="S9" s="28" t="str">
        <x:v>Source says patient felt the urology clinician was dismissive and berating.</x:v>
      </x:c>
      <x:c r="T9" s="28" t="str"/>
      <x:c r="U9" s="28" t="str">
        <x:v>A high-risk measurement lacked immediate safety action and patient education.</x:v>
      </x:c>
      <x:c r="V9" s="28" t="str">
        <x:v>Create hard-stop follow-up for extreme post-void residual: creatinine, catheter plan, teach-back, and owner assignment.</x:v>
      </x:c>
      <x:c r="W9" s="28" t="str">
        <x:v>high</x:v>
      </x:c>
      <x:c r="X9" s="28" t="str">
        <x:v>Facts from source; product column is interpretation</x:v>
      </x:c>
      <x:c r="Y9" s="28" t="str">
        <x:v>Case shows relational rupture causing loss to follow-up.</x:v>
      </x:c>
    </x:row>
    <x:row r="10" ht="72" customHeight="1">
      <x:c r="A10" s="28" t="str">
        <x:v>B-006</x:v>
      </x:c>
      <x:c r="B10" s="28" t="str">
        <x:v>Do Not Miss Sepsis: Needles in Viral Haystacks</x:v>
      </x:c>
      <x:c r="C10" s="28" t="str">
        <x:v>https://psnet.ahrq.gov/web-mm/do-not-miss-sepsis-needles-viral-haystacks</x:v>
      </x:c>
      <x:c r="D10" s="28" t="str">
        <x:v>AHRQ PSNet WebM&amp;M case analysis</x:v>
      </x:c>
      <x:c r="E10" s="28" t="str">
        <x:v>2024-03-27</x:v>
      </x:c>
      <x:c r="F10" s="28" t="str">
        <x:v>United States</x:v>
      </x:c>
      <x:c r="G10" s="28" t="str">
        <x:v>emergency department</x:v>
      </x:c>
      <x:c r="H10" s="28" t="str">
        <x:v>pediatric ED</x:v>
      </x:c>
      <x:c r="I10" s="28" t="str">
        <x:v>nurse triage; vitals; first clinician assessment; labs/imaging ordered; discharge; repeat visit</x:v>
      </x:c>
      <x:c r="J10" s="28" t="str">
        <x:v>Pediatric sepsis / bacterial pneumonia / empyema</x:v>
      </x:c>
      <x:c r="K10" s="28" t="str">
        <x:v>5-year-old with fever, cough, nausea, sore throat, dyspnea, weakness, rash; returned worse next day.</x:v>
      </x:c>
      <x:c r="L10" s="28" t="str">
        <x:v>Viral illness / pharyngitis; discharged with amoxicillin after positive strep test.</x:v>
      </x:c>
      <x:c r="M10" s="28" t="str">
        <x:v>Tachycardia, tachypnea, low oxygen saturation, metabolic abnormalities, and respiratory complaints suggesting pneumonia/sepsis.</x:v>
      </x:c>
      <x:c r="N10" s="28" t="str">
        <x:v>3 ED visits/days; death on day 3</x:v>
      </x:c>
      <x:c r="O10" s="28" t="str">
        <x:v>Negative viral swab first visit; sodium 127 and bicarbonate 16 second visit; no chest imaging.</x:v>
      </x:c>
      <x:c r="P10" s="28" t="str">
        <x:v>ED clinicians; EMS</x:v>
      </x:c>
      <x:c r="Q10" s="28" t="str">
        <x:v>Returned by ambulance in arrest; autopsy showed bilateral pneumonia/empyema with bacterial cultures.</x:v>
      </x:c>
      <x:c r="R10" s="28" t="str">
        <x:v>red flag missed; repeated visits ignored; no imaging ordered; premature closure; discharge safety-net failure; pediatric missed diagnosis</x:v>
      </x:c>
      <x:c r="S10" s="28" t="str"/>
      <x:c r="T10" s="28" t="str"/>
      <x:c r="U10" s="28" t="str">
        <x:v>Sepsis signal was fragmented across vitals, symptoms, labs, and repeat visits.</x:v>
      </x:c>
      <x:c r="V10" s="28" t="str">
        <x:v>Implement pediatric repeat-visit sepsis detector combining vitals, respiratory symptoms, labs, and recent discharge history.</x:v>
      </x:c>
      <x:c r="W10" s="28" t="str">
        <x:v>high</x:v>
      </x:c>
      <x:c r="X10" s="28" t="str">
        <x:v>Facts from source; product column is interpretation</x:v>
      </x:c>
      <x:c r="Y10" s="28" t="str">
        <x:v>A positive strep test may become an anchoring point rather than a complete explanation.</x:v>
      </x:c>
    </x:row>
    <x:row r="11" ht="72" customHeight="1">
      <x:c r="A11" s="28" t="str">
        <x:v>B-007</x:v>
      </x:c>
      <x:c r="B11" s="28" t="str">
        <x:v>Missing ECG and Missed Diagnosis Lead to Dangerous Delay</x:v>
      </x:c>
      <x:c r="C11" s="28" t="str">
        <x:v>https://psnet.ahrq.gov/web-mm/missing-ecg-and-missed-diagnosis-lead-dangerous-delay</x:v>
      </x:c>
      <x:c r="D11" s="28" t="str">
        <x:v>AHRQ PSNet WebM&amp;M case analysis</x:v>
      </x:c>
      <x:c r="E11" s="28" t="str">
        <x:v>2018-03-01</x:v>
      </x:c>
      <x:c r="F11" s="28" t="str">
        <x:v>United States</x:v>
      </x:c>
      <x:c r="G11" s="28" t="str">
        <x:v>emergency department; inpatient ward</x:v>
      </x:c>
      <x:c r="H11" s="28" t="str">
        <x:v>EMS + ED + inpatient telemetry</x:v>
      </x:c>
      <x:c r="I11" s="28" t="str">
        <x:v>arrival; nurse triage; imaging/lab ordered; handoff; follow-up</x:v>
      </x:c>
      <x:c r="J11" s="28" t="str">
        <x:v>ST-elevation myocardial infarction (STEMI)</x:v>
      </x:c>
      <x:c r="K11" s="28" t="str">
        <x:v>35-year-old woman with severe chest pressure; EMS ECG showed STEMI.</x:v>
      </x:c>
      <x:c r="L11" s="28" t="str">
        <x:v>Repeat ED ECG without ST elevation and improving pain reduced urgency; no serial ECG/troponin before telemetry admission.</x:v>
      </x:c>
      <x:c r="M11" s="28" t="str">
        <x:v>Prehospital STEMI ECG and need for serial ECGs/troponins after ischemic chest pain.</x:v>
      </x:c>
      <x:c r="N11" s="28" t="str">
        <x:v>Many hours; intervention next morning</x:v>
      </x:c>
      <x:c r="O11" s="28" t="str">
        <x:v>EMS ECG not transmitted; ED ECG appeared non-STEMI; later troponin/ECG showed large MI.</x:v>
      </x:c>
      <x:c r="P11" s="28" t="str">
        <x:v>EMS; ED clinicians; inpatient clinicians; cardiology</x:v>
      </x:c>
      <x:c r="Q11" s="28" t="str">
        <x:v>Next morning elevated troponin and ECG triggered PCI; significant cardiac dysfunction occurred.</x:v>
      </x:c>
      <x:c r="R11" s="28" t="str">
        <x:v>poor handoff; normal-test trap; red flag missed; no follow-up ownership; communication failure</x:v>
      </x:c>
      <x:c r="S11" s="28" t="str"/>
      <x:c r="T11" s="28" t="str"/>
      <x:c r="U11" s="28" t="str">
        <x:v>A critical prehospital data point failed to enter the ED decision stream.</x:v>
      </x:c>
      <x:c r="V11" s="28" t="str">
        <x:v>Require EMS ECG ingestion/acknowledgment and serial chest-pain testing checklist when initial high-risk data exists.</x:v>
      </x:c>
      <x:c r="W11" s="28" t="str">
        <x:v>high</x:v>
      </x:c>
      <x:c r="X11" s="28" t="str">
        <x:v>Facts from source; product column is interpretation</x:v>
      </x:c>
      <x:c r="Y11" s="28" t="str">
        <x:v>Shows how a single missing artifact can reset risk assessment.</x:v>
      </x:c>
    </x:row>
    <x:row r="12" ht="72" customHeight="1">
      <x:c r="A12" s="28" t="str">
        <x:v>B-008</x:v>
      </x:c>
      <x:c r="B12" s="28" t="str">
        <x:v>Delay in Appropriate Diagnosis and Treatment Leading to Death from Pulmonary Embolism</x:v>
      </x:c>
      <x:c r="C12" s="28" t="str">
        <x:v>https://psnet.ahrq.gov/web-mm/delay-appropriate-diagnosis-and-treatment-leading-death-pulmonary-embolism</x:v>
      </x:c>
      <x:c r="D12" s="28" t="str">
        <x:v>AHRQ PSNet WebM&amp;M case analysis</x:v>
      </x:c>
      <x:c r="E12" s="28" t="str">
        <x:v>2021-02-10</x:v>
      </x:c>
      <x:c r="F12" s="28" t="str">
        <x:v>United States</x:v>
      </x:c>
      <x:c r="G12" s="28" t="str">
        <x:v>emergency department; inpatient ward; intensive care</x:v>
      </x:c>
      <x:c r="H12" s="28" t="str">
        <x:v>ED + radiology + inpatient team + ICU</x:v>
      </x:c>
      <x:c r="I12" s="28" t="str">
        <x:v>first clinician assessment; imaging interpretation; handoff; emergency escalation</x:v>
      </x:c>
      <x:c r="J12" s="28" t="str">
        <x:v>Pulmonary embolism</x:v>
      </x:c>
      <x:c r="K12" s="28" t="str">
        <x:v>56-year-old man with asthma history and recent Achilles tendon repair; shortness of breath, hypoxia, wheezing.</x:v>
      </x:c>
      <x:c r="L12" s="28" t="str">
        <x:v>Asthma exacerbation; CTA later acknowledged bilateral filling defects, but critical right-heart strain was not communicated.</x:v>
      </x:c>
      <x:c r="M12" s="28" t="str">
        <x:v>Post-surgical thromboembolism risk, rising lactate/oxygen needs, and imaging evidence of right-heart strain.</x:v>
      </x:c>
      <x:c r="N12" s="28" t="str">
        <x:v>2-3 hospital days; death day 3</x:v>
      </x:c>
      <x:c r="O12" s="28" t="str">
        <x:v>CTA showed bilateral PEs and evidence of right-heart strain; radiology call omitted the most critical implication.</x:v>
      </x:c>
      <x:c r="P12" s="28" t="str">
        <x:v>ED physician; hospitalist; radiologist; rapid response team; ICU</x:v>
      </x:c>
      <x:c r="Q12" s="28" t="str">
        <x:v>POCUS found right-heart strain; thrombolysis and ECMO attempted; patient died.</x:v>
      </x:c>
      <x:c r="R12" s="28" t="str">
        <x:v>premature closure; imaging/report communication gap; abnormal result not followed up; poor handoff; no follow-up ownership</x:v>
      </x:c>
      <x:c r="S12" s="28" t="str"/>
      <x:c r="T12" s="28" t="str"/>
      <x:c r="U12" s="28" t="str">
        <x:v>Radiology-text severity and phone handoff did not align with treatment urgency.</x:v>
      </x:c>
      <x:c r="V12" s="28" t="str">
        <x:v>Add critical-result semantics: report should classify right-heart strain as escalation-required and track acknowledgment/action.</x:v>
      </x:c>
      <x:c r="W12" s="28" t="str">
        <x:v>high</x:v>
      </x:c>
      <x:c r="X12" s="28" t="str">
        <x:v>Facts from source; product column is interpretation</x:v>
      </x:c>
      <x:c r="Y12" s="28" t="str">
        <x:v>A partial critical-result phone call can be more dangerous than no call if it downgrades urgency.</x:v>
      </x:c>
    </x:row>
    <x:row r="13" ht="72" customHeight="1">
      <x:c r="A13" s="28" t="str">
        <x:v>B-009</x:v>
      </x:c>
      <x:c r="B13" s="28" t="str">
        <x:v>Delayed Diagnosis of Mesenteric Ischemia</x:v>
      </x:c>
      <x:c r="C13" s="28" t="str">
        <x:v>https://psnet.ahrq.gov/web-mm/delayed-diagnosis-mesenteric-ischemia</x:v>
      </x:c>
      <x:c r="D13" s="28" t="str">
        <x:v>AHRQ PSNet WebM&amp;M case analysis</x:v>
      </x:c>
      <x:c r="E13" s="28" t="str">
        <x:v>2022-08-31</x:v>
      </x:c>
      <x:c r="F13" s="28" t="str">
        <x:v>United States</x:v>
      </x:c>
      <x:c r="G13" s="28" t="str">
        <x:v>primary care; emergency department; specialist clinic; inpatient ward</x:v>
      </x:c>
      <x:c r="H13" s="28" t="str">
        <x:v>PCP + ED + gastroenterology + surgery</x:v>
      </x:c>
      <x:c r="I13" s="28" t="str">
        <x:v>medical history; labs/imaging ordered; referral; follow-up; repeat visit; specialist review</x:v>
      </x:c>
      <x:c r="J13" s="28" t="str">
        <x:v>Chronic mesenteric ischemia</x:v>
      </x:c>
      <x:c r="K13" s="28" t="str">
        <x:v>Recurrent post-prandial abdominal pain, vomiting, diarrhea, marked weight loss.</x:v>
      </x:c>
      <x:c r="L13" s="28" t="str">
        <x:v>GI workup interpreted normal; recurrent ED/PCP visits did not trigger abdominal imaging or angiography.</x:v>
      </x:c>
      <x:c r="M13" s="28" t="str">
        <x:v>Weight loss, food fear/post-prandial pain pattern, and colleague's suggestion of intestinal ischemia.</x:v>
      </x:c>
      <x:c r="N13" s="28" t="str">
        <x:v>Months; deterioration to near-gangrenous intestines</x:v>
      </x:c>
      <x:c r="O13" s="28" t="str">
        <x:v>Routine labs normal; endoscopy/colonoscopy findings subtle; angiogram later diagnostic.</x:v>
      </x:c>
      <x:c r="P13" s="28" t="str">
        <x:v>Primary care clinician; gastroenterologist; covering GI physician; ED surgeon</x:v>
      </x:c>
      <x:c r="Q13" s="28" t="str">
        <x:v>Mesenteric angiogram confirmed ischemia; near-total bowel resection; patient died of sepsis months later.</x:v>
      </x:c>
      <x:c r="R13" s="28" t="str">
        <x:v>normal-test trap; no one connected the dots; repeated visits ignored; wrong specialty; colleague signal ignored; red flag missed</x:v>
      </x:c>
      <x:c r="S13" s="28" t="str"/>
      <x:c r="T13" s="28" t="str"/>
      <x:c r="U13" s="28" t="str">
        <x:v>Red-flag weight loss and repeated visits were treated as separate episodes.</x:v>
      </x:c>
      <x:c r="V13" s="28" t="str">
        <x:v>Build a longitudinal weight-loss + abdominal pain pattern recognizer and surface colleague concern as a tracked diagnostic signal.</x:v>
      </x:c>
      <x:c r="W13" s="28" t="str">
        <x:v>high</x:v>
      </x:c>
      <x:c r="X13" s="28" t="str">
        <x:v>Facts from source; product column is interpretation</x:v>
      </x:c>
      <x:c r="Y13" s="28" t="str">
        <x:v>Case highlights clinician-to-clinician comments as signals that need ownership.</x:v>
      </x:c>
    </x:row>
    <x:row r="14" ht="72" customHeight="1">
      <x:c r="A14" s="28" t="str">
        <x:v>B-010</x:v>
      </x:c>
      <x:c r="B14" s="28" t="str">
        <x:v>Missed Appendicitis</x:v>
      </x:c>
      <x:c r="C14" s="28" t="str">
        <x:v>https://psnet.ahrq.gov/web-mm/missed-appendicitis</x:v>
      </x:c>
      <x:c r="D14" s="28" t="str">
        <x:v>AHRQ PSNet WebM&amp;M case analysis</x:v>
      </x:c>
      <x:c r="E14" s="28" t="str">
        <x:v>2003-06-01</x:v>
      </x:c>
      <x:c r="F14" s="28" t="str">
        <x:v>United States</x:v>
      </x:c>
      <x:c r="G14" s="28" t="str">
        <x:v>emergency department; primary care; inpatient ward</x:v>
      </x:c>
      <x:c r="H14" s="28" t="str">
        <x:v>ED + primary care + surgery</x:v>
      </x:c>
      <x:c r="I14" s="28" t="str">
        <x:v>first clinician assessment; physical exam; imaging ordered; discharge; repeat visit</x:v>
      </x:c>
      <x:c r="J14" s="28" t="str">
        <x:v>Appendicitis with perforation/abscess</x:v>
      </x:c>
      <x:c r="K14" s="28" t="str">
        <x:v>37-year-old woman with vomiting and periumbilical abdominal pain.</x:v>
      </x:c>
      <x:c r="L14" s="28" t="str">
        <x:v>Gastroenteritis after normal vitals and soft abdomen; outpatient ultrasound scheduled days later.</x:v>
      </x:c>
      <x:c r="M14" s="28" t="str">
        <x:v>Persistent continuous abdominal pain should have prompted reconsideration and timely imaging.</x:v>
      </x:c>
      <x:c r="N14" s="28" t="str">
        <x:v>Several days; perforation by return</x:v>
      </x:c>
      <x:c r="O14" s="28" t="str">
        <x:v>CT on return showed perforated appendix; abscess later drained.</x:v>
      </x:c>
      <x:c r="P14" s="28" t="str">
        <x:v>ED clinician; primary care physician; surgeon</x:v>
      </x:c>
      <x:c r="Q14" s="28" t="str">
        <x:v>Repeat ED visit, pelvic exam and CT; IV antibiotics, drainage, later complications.</x:v>
      </x:c>
      <x:c r="R14" s="28" t="str">
        <x:v>red flag missed; normal vitals trap; discharge safety-net failure; repeated visits ignored; imaging delay</x:v>
      </x:c>
      <x:c r="S14" s="28" t="str"/>
      <x:c r="T14" s="28" t="str"/>
      <x:c r="U14" s="28" t="str">
        <x:v>Early appendicitis may look benign; delays increase perforation risk.</x:v>
      </x:c>
      <x:c r="V14" s="28" t="str">
        <x:v>Use abdominal-pain discharge callbacks and return-triggered escalation for persistent or migrating pain.</x:v>
      </x:c>
      <x:c r="W14" s="28" t="str">
        <x:v>high</x:v>
      </x:c>
      <x:c r="X14" s="28" t="str">
        <x:v>Facts from source; product column is interpretation</x:v>
      </x:c>
      <x:c r="Y14" s="28" t="str">
        <x:v>Atypical or early appendicitis is a classic diagnostic-error pattern.</x:v>
      </x:c>
    </x:row>
    <x:row r="15" ht="72" customHeight="1">
      <x:c r="A15" s="28" t="str">
        <x:v>B-011</x:v>
      </x:c>
      <x:c r="B15" s="28" t="str">
        <x:v>Out of Sight, Out of Mind: Out-of-Office Test Result Management</x:v>
      </x:c>
      <x:c r="C15" s="28" t="str">
        <x:v>https://psnet.ahrq.gov/web-mm/out-sight-out-mind-out-office-test-result-management</x:v>
      </x:c>
      <x:c r="D15" s="28" t="str">
        <x:v>AHRQ PSNet WebM&amp;M case analysis</x:v>
      </x:c>
      <x:c r="E15" s="28" t="str">
        <x:v>2018-05-01</x:v>
      </x:c>
      <x:c r="F15" s="28" t="str">
        <x:v>United States</x:v>
      </x:c>
      <x:c r="G15" s="28" t="str">
        <x:v>specialist clinic; hospital outpatient</x:v>
      </x:c>
      <x:c r="H15" s="28" t="str">
        <x:v>rheumatology clinic</x:v>
      </x:c>
      <x:c r="I15" s="28" t="str">
        <x:v>labs ordered; lab interpretation; follow-up; specialist review</x:v>
      </x:c>
      <x:c r="J15" s="28" t="str">
        <x:v>Giant cell arteritis monitoring / relapse risk</x:v>
      </x:c>
      <x:c r="K15" s="28" t="str">
        <x:v>Patient with suspected/treated GCA needed CRP monitoring after steroid taper.</x:v>
      </x:c>
      <x:c r="L15" s="28" t="str">
        <x:v>Covering clinician relayed ambiguous message; rheumatologist opened wrong chart for patient with same last name and saw normal CRP.</x:v>
      </x:c>
      <x:c r="M15" s="28" t="str">
        <x:v>Elevated CRP result requiring action; wrong-chart look-up and out-of-office inbasket gap.</x:v>
      </x:c>
      <x:c r="N15" s="28" t="str">
        <x:v>About 2 months</x:v>
      </x:c>
      <x:c r="O15" s="28" t="str">
        <x:v>Abnormal CRP was available but not acted upon; later repeat labs revealed elevation.</x:v>
      </x:c>
      <x:c r="P15" s="28" t="str">
        <x:v>Rheumatologist; covering physician; clinic staff</x:v>
      </x:c>
      <x:c r="Q15" s="28" t="str">
        <x:v>Steroids restarted after delayed recognition.</x:v>
      </x:c>
      <x:c r="R15" s="28" t="str">
        <x:v>abnormal result not followed up; documentation error; poor handoff; no follow-up ownership; wrong-patient/wrong-chart risk</x:v>
      </x:c>
      <x:c r="S15" s="28" t="str"/>
      <x:c r="T15" s="28" t="str"/>
      <x:c r="U15" s="28" t="str">
        <x:v>Result ownership broke during absence coverage and ambiguous patient identification.</x:v>
      </x:c>
      <x:c r="V15" s="28" t="str">
        <x:v>Enforce patient-identifier confirmation, abnormal-result task persistence, and coverage acknowledgment until action completed.</x:v>
      </x:c>
      <x:c r="W15" s="28" t="str">
        <x:v>high</x:v>
      </x:c>
      <x:c r="X15" s="28" t="str">
        <x:v>Facts from source; product column is interpretation</x:v>
      </x:c>
      <x:c r="Y15" s="28" t="str">
        <x:v>Out-of-office workflows are diagnostic-safety workflows, not clerical side effects.</x:v>
      </x:c>
    </x:row>
    <x:row r="16" ht="72" customHeight="1">
      <x:c r="A16" s="28" t="str">
        <x:v>B-012</x:v>
      </x:c>
      <x:c r="B16" s="28" t="str">
        <x:v>Delayed Recognition of a Positive Blood Culture</x:v>
      </x:c>
      <x:c r="C16" s="28" t="str">
        <x:v>https://psnet.ahrq.gov/web-mm/delayed-recognition-positive-blood-culture</x:v>
      </x:c>
      <x:c r="D16" s="28" t="str">
        <x:v>AHRQ PSNet WebM&amp;M case analysis</x:v>
      </x:c>
      <x:c r="E16" s="28" t="str">
        <x:v>2017-07-01</x:v>
      </x:c>
      <x:c r="F16" s="28" t="str">
        <x:v>United States</x:v>
      </x:c>
      <x:c r="G16" s="28" t="str">
        <x:v>inpatient ward; discharge; follow-up</x:v>
      </x:c>
      <x:c r="H16" s="28" t="str">
        <x:v>hospital inpatient + laboratory</x:v>
      </x:c>
      <x:c r="I16" s="28" t="str">
        <x:v>lab interpretation; discharge; handoff; follow-up</x:v>
      </x:c>
      <x:c r="J16" s="28" t="str">
        <x:v>Listeria bacteremia</x:v>
      </x:c>
      <x:c r="K16" s="28" t="str">
        <x:v>Immunosuppressed woman with metastatic breast cancer and diarrhea; blood culture later speciated Listeria.</x:v>
      </x:c>
      <x:c r="L16" s="28" t="str">
        <x:v>C. difficile treatment; preliminary gram-positive rods treated as possible contaminant and result routed poorly at discharge.</x:v>
      </x:c>
      <x:c r="M16" s="28" t="str">
        <x:v>Positive blood culture in immunosuppressed patient, requiring urgent clinician action after discharge.</x:v>
      </x:c>
      <x:c r="N16" s="28" t="str">
        <x:v>Recognized after discharge; short delay</x:v>
      </x:c>
      <x:c r="O16" s="28" t="str">
        <x:v>Blood culture prelim positive, later Listeria; lab told bedside nurse but not primary team; inbox result unseen.</x:v>
      </x:c>
      <x:c r="P16" s="28" t="str">
        <x:v>Laboratory staff; bedside nurse; attending physician; primary team</x:v>
      </x:c>
      <x:c r="Q16" s="28" t="str">
        <x:v>Team later called patient back for IV antibiotics; patient recovered.</x:v>
      </x:c>
      <x:c r="R16" s="28" t="str">
        <x:v>abnormal result not followed up; poor handoff; no follow-up ownership; discharge pending result gap; documentation error</x:v>
      </x:c>
      <x:c r="S16" s="28" t="str"/>
      <x:c r="T16" s="28" t="str"/>
      <x:c r="U16" s="28" t="str">
        <x:v>Pending microbiology result changed after patient left the hospital.</x:v>
      </x:c>
      <x:c r="V16" s="28" t="str">
        <x:v>Create post-discharge microbiology result queue with accountable owner, escalation, and contamination-vs-pathogen context.</x:v>
      </x:c>
      <x:c r="W16" s="28" t="str">
        <x:v>high</x:v>
      </x:c>
      <x:c r="X16" s="28" t="str">
        <x:v>Facts from source; product column is interpretation</x:v>
      </x:c>
      <x:c r="Y16" s="28" t="str">
        <x:v>This is a success after delayed recognition, because readmission and treatment occurred.</x:v>
      </x:c>
    </x:row>
    <x:row r="17" ht="72" customHeight="1">
      <x:c r="A17" s="28" t="str">
        <x:v>B-013</x:v>
      </x:c>
      <x:c r="B17" s="28" t="str">
        <x:v>Delayed Diagnosis of Endocrinologic Emergencies</x:v>
      </x:c>
      <x:c r="C17" s="28" t="str">
        <x:v>https://psnet.ahrq.gov/web-mm/delayed-diagnosis-endocrinologic-emergencies</x:v>
      </x:c>
      <x:c r="D17" s="28" t="str">
        <x:v>AHRQ PSNet WebM&amp;M case analysis</x:v>
      </x:c>
      <x:c r="E17" s="28" t="str">
        <x:v>2017-11-01</x:v>
      </x:c>
      <x:c r="F17" s="28" t="str">
        <x:v>United States</x:v>
      </x:c>
      <x:c r="G17" s="28" t="str">
        <x:v>emergency department; inpatient ward</x:v>
      </x:c>
      <x:c r="H17" s="28" t="str">
        <x:v>ED + inpatient medicine</x:v>
      </x:c>
      <x:c r="I17" s="28" t="str">
        <x:v>medical history; labs ordered; lab interpretation; inpatient reassessment</x:v>
      </x:c>
      <x:c r="J17" s="28" t="str">
        <x:v>Thyroid storm</x:v>
      </x:c>
      <x:c r="K17" s="28" t="str">
        <x:v>Man with known hyperthyroidism off medications due to financial issues; fever, atrial fibrillation, heart rate around 170, altered feeling.</x:v>
      </x:c>
      <x:c r="L17" s="28" t="str">
        <x:v>Atrial fibrillation and pneumonia; thyroid labs available but not acted upon until later hospitalist review.</x:v>
      </x:c>
      <x:c r="M17" s="28" t="str">
        <x:v>Known hyperthyroidism, medication interruption, fever, tachyarrhythmia, and abnormal thyroid labs.</x:v>
      </x:c>
      <x:c r="N17" s="28" t="str">
        <x:v>About 3 hospital days; death</x:v>
      </x:c>
      <x:c r="O17" s="28" t="str">
        <x:v>TSH undetectable and thyroid hormone high; results available the previous day before action.</x:v>
      </x:c>
      <x:c r="P17" s="28" t="str">
        <x:v>ED clinicians; inpatient team; hospitalist</x:v>
      </x:c>
      <x:c r="Q17" s="28" t="str">
        <x:v>Treatment started after thyroid storm recognized, but patient arrested and died.</x:v>
      </x:c>
      <x:c r="R17" s="28" t="str">
        <x:v>abnormal result not followed up; incomplete medication/access history; red flag missed; lab interpretation delay; fragmented care</x:v>
      </x:c>
      <x:c r="S17" s="28" t="str"/>
      <x:c r="T17" s="28" t="str"/>
      <x:c r="U17" s="28" t="str">
        <x:v>Social/medication access history was clinically central but not integrated into emergency diagnosis.</x:v>
      </x:c>
      <x:c r="V17" s="28" t="str">
        <x:v>Connect medication nonadherence due to cost + vital-sign pattern + pending labs into endocrine emergency alerts.</x:v>
      </x:c>
      <x:c r="W17" s="28" t="str">
        <x:v>high</x:v>
      </x:c>
      <x:c r="X17" s="28" t="str">
        <x:v>Facts from source; product column is interpretation</x:v>
      </x:c>
      <x:c r="Y17" s="28" t="str">
        <x:v>Medication access problems can be diagnostic clues.</x:v>
      </x:c>
    </x:row>
    <x:row r="18" ht="72" customHeight="1">
      <x:c r="A18" s="28" t="str">
        <x:v>B-014</x:v>
      </x:c>
      <x:c r="B18" s="28" t="str">
        <x:v>Delayed Diagnosis of Endocrinologic Emergencies</x:v>
      </x:c>
      <x:c r="C18" s="28" t="str">
        <x:v>https://psnet.ahrq.gov/web-mm/delayed-diagnosis-endocrinologic-emergencies</x:v>
      </x:c>
      <x:c r="D18" s="28" t="str">
        <x:v>AHRQ PSNet WebM&amp;M case analysis</x:v>
      </x:c>
      <x:c r="E18" s="28" t="str">
        <x:v>2017-11-01</x:v>
      </x:c>
      <x:c r="F18" s="28" t="str">
        <x:v>United States</x:v>
      </x:c>
      <x:c r="G18" s="28" t="str">
        <x:v>emergency department; inpatient ward; repeat admissions</x:v>
      </x:c>
      <x:c r="H18" s="28" t="str">
        <x:v>hospital inpatient medicine</x:v>
      </x:c>
      <x:c r="I18" s="28" t="str">
        <x:v>repeat visit; medical history; lab interpretation; long-term monitoring</x:v>
      </x:c>
      <x:c r="J18" s="28" t="str">
        <x:v>Myxedema coma / severe hypothyroidism</x:v>
      </x:c>
      <x:c r="K18" s="28" t="str">
        <x:v>Woman with COPD/CHF/atrial fibrillation on amiodarone had repeated admissions over 3 months for respiratory/infectious explanations.</x:v>
      </x:c>
      <x:c r="L18" s="28" t="str">
        <x:v>COPD/pneumonia/CHF explanations; thyroid abnormality not connected to global deterioration.</x:v>
      </x:c>
      <x:c r="M18" s="28" t="str">
        <x:v>Prior thyroid result and clinical deterioration compatible with myxedema coma.</x:v>
      </x:c>
      <x:c r="N18" s="28" t="str">
        <x:v>Multiple admissions over about 3 months</x:v>
      </x:c>
      <x:c r="O18" s="28" t="str">
        <x:v>Thyroid data existed but was not connected across admissions.</x:v>
      </x:c>
      <x:c r="P18" s="28" t="str">
        <x:v>Multiple inpatient teams; later recognizing physician</x:v>
      </x:c>
      <x:c r="Q18" s="28" t="str">
        <x:v>Later physician recognized likely myxedema coma pattern.</x:v>
      </x:c>
      <x:c r="R18" s="28" t="str">
        <x:v>lab trend missed; repeated visits ignored; fragmented care; no one connected the dots; chronic comorbidity overshadowing</x:v>
      </x:c>
      <x:c r="S18" s="28" t="str"/>
      <x:c r="T18" s="28" t="str"/>
      <x:c r="U18" s="28" t="str">
        <x:v>Repeated admissions became a loop of familiar diagnoses rather than a trigger for diagnostic reset.</x:v>
      </x:c>
      <x:c r="V18" s="28" t="str">
        <x:v>Add repeat-admission diagnostic reset that surfaces unresolved abnormal labs and medication-risk links such as amiodarone-thyroid disease.</x:v>
      </x:c>
      <x:c r="W18" s="28" t="str">
        <x:v>high</x:v>
      </x:c>
      <x:c r="X18" s="28" t="str">
        <x:v>Facts from source; product column is interpretation</x:v>
      </x:c>
      <x:c r="Y18" s="28" t="str">
        <x:v>Included as a repeated-visit/endocrine masking example from same PSNet analysis.</x:v>
      </x:c>
    </x:row>
    <x:row r="19" ht="72" customHeight="1">
      <x:c r="A19" s="28" t="str">
        <x:v>B-015</x:v>
      </x:c>
      <x:c r="B19" s="28" t="str">
        <x:v>Myasthenic Crisis after Delayed Diagnosis in a Medically Complex Patient</x:v>
      </x:c>
      <x:c r="C19" s="28" t="str">
        <x:v>https://psnet.ahrq.gov/web-mm/myasthenia-crisis-after-delayed-diagnosis-medically-complex-patient</x:v>
      </x:c>
      <x:c r="D19" s="28" t="str">
        <x:v>AHRQ PSNet WebM&amp;M case analysis</x:v>
      </x:c>
      <x:c r="E19" s="28" t="str">
        <x:v>2024-01-04</x:v>
      </x:c>
      <x:c r="F19" s="28" t="str">
        <x:v>United States</x:v>
      </x:c>
      <x:c r="G19" s="28" t="str">
        <x:v>emergency department; inpatient ward; specialist clinic; follow-up</x:v>
      </x:c>
      <x:c r="H19" s="28" t="str">
        <x:v>pediatric hospital + neurology</x:v>
      </x:c>
      <x:c r="I19" s="28" t="str">
        <x:v>labs ordered; lab interpretation; discharge; specialist review; repeat visit</x:v>
      </x:c>
      <x:c r="J19" s="28" t="str">
        <x:v>Myasthenia gravis / myasthenic crisis</x:v>
      </x:c>
      <x:c r="K19" s="28" t="str">
        <x:v>9-year-old medically complex child with seizures, respiratory failure; later positive AChR antibody test.</x:v>
      </x:c>
      <x:c r="L19" s="28" t="str">
        <x:v>Existing neurologic complexity and copy-forward notes obscured an abnormal antibody result; discharged without addressing it.</x:v>
      </x:c>
      <x:c r="M19" s="28" t="str">
        <x:v>AChR antibody 302 with normal below 0.5; result visible but not reflected in notes or follow-up.</x:v>
      </x:c>
      <x:c r="N19" s="28" t="str">
        <x:v>Weeks; later crisis and cardiac arrest</x:v>
      </x:c>
      <x:c r="O19" s="28" t="str">
        <x:v>AChR antibody markedly abnormal; notes continued to say labs pending.</x:v>
      </x:c>
      <x:c r="P19" s="28" t="str">
        <x:v>ED clinicians; inpatient team; neurologists; PCP</x:v>
      </x:c>
      <x:c r="Q19" s="28" t="str">
        <x:v>Later respiratory failure/cardiac arrest prompted recognition and treatment with IVIG/steroids.</x:v>
      </x:c>
      <x:c r="R19" s="28" t="str">
        <x:v>abnormal result not followed up; documentation error; copy-forward problem; fragmented care; no follow-up ownership; pediatric missed diagnosis</x:v>
      </x:c>
      <x:c r="S19" s="28" t="str"/>
      <x:c r="T19" s="28" t="str"/>
      <x:c r="U19" s="28" t="str">
        <x:v>A high-signal lab result was available but cognitively invisible across transitions.</x:v>
      </x:c>
      <x:c r="V19" s="28" t="str">
        <x:v>Flag discordance between finalized lab results and notes that still say 'pending'; require abnormal-result diagnosis reconciliation before discharge.</x:v>
      </x:c>
      <x:c r="W19" s="28" t="str">
        <x:v>high</x:v>
      </x:c>
      <x:c r="X19" s="28" t="str">
        <x:v>Facts from source; product column is interpretation</x:v>
      </x:c>
      <x:c r="Y19" s="28" t="str">
        <x:v>Complex baseline disability increased masking risk.</x:v>
      </x:c>
    </x:row>
    <x:row r="20" ht="72" customHeight="1">
      <x:c r="A20" s="28" t="str">
        <x:v>B-016</x:v>
      </x:c>
      <x:c r="B20" s="28" t="str">
        <x:v>Missing a Large Vessel Occlusion Stroke in a Patient with a History of Seizures</x:v>
      </x:c>
      <x:c r="C20" s="28" t="str">
        <x:v>https://psnet.ahrq.gov/web-mm/missing-large-vessel-occlusion-stroke-patient-history-seizures</x:v>
      </x:c>
      <x:c r="D20" s="28" t="str">
        <x:v>AHRQ PSNet WebM&amp;M case analysis</x:v>
      </x:c>
      <x:c r="E20" s="28" t="str">
        <x:v>2022-07-08</x:v>
      </x:c>
      <x:c r="F20" s="28" t="str">
        <x:v>United States</x:v>
      </x:c>
      <x:c r="G20" s="28" t="str">
        <x:v>emergency department; specialist review; inpatient ward</x:v>
      </x:c>
      <x:c r="H20" s="28" t="str">
        <x:v>ED + neurology/stroke team</x:v>
      </x:c>
      <x:c r="I20" s="28" t="str">
        <x:v>nurse triage; first clinician assessment; imaging ordered; specialist review</x:v>
      </x:c>
      <x:c r="J20" s="28" t="str">
        <x:v>Large-vessel occlusion ischemic stroke</x:v>
      </x:c>
      <x:c r="K20" s="28" t="str">
        <x:v>58-year-old man with gaze deviation, aphasia, right hemiparesis, last known well 12 hours earlier, seizure history.</x:v>
      </x:c>
      <x:c r="L20" s="28" t="str">
        <x:v>Focal seizure/postictal state; no stroke alert and no emergent CTA/perfusion imaging.</x:v>
      </x:c>
      <x:c r="M20" s="28" t="str">
        <x:v>Focal neurologic deficits and possible large-vessel occlusion despite seizure history.</x:v>
      </x:c>
      <x:c r="N20" s="28" t="str">
        <x:v>Hours; too late for intervention</x:v>
      </x:c>
      <x:c r="O20" s="28" t="str">
        <x:v>Noncontrast CT/labs unremarkable; MRI/MRA later showed extensive MCA infarct.</x:v>
      </x:c>
      <x:c r="P20" s="28" t="str">
        <x:v>ED clinicians; general neurologist; remote stroke team</x:v>
      </x:c>
      <x:c r="Q20" s="28" t="str">
        <x:v>Delayed MRI/MRA showed completed infarct, too late for acute intervention.</x:v>
      </x:c>
      <x:c r="R20" s="28" t="str">
        <x:v>normal-test trap; red flag missed; premature closure; wrong pathway; specialist remote review gap</x:v>
      </x:c>
      <x:c r="S20" s="28" t="str"/>
      <x:c r="T20" s="28" t="str"/>
      <x:c r="U20" s="28" t="str">
        <x:v>A past diagnosis became the default explanation for new focal deficits.</x:v>
      </x:c>
      <x:c r="V20" s="28" t="str">
        <x:v>Stroke-first pathway: require LVO exclusion before seizure explanation when focal deficits persist or presentation is high-risk.</x:v>
      </x:c>
      <x:c r="W20" s="28" t="str">
        <x:v>high</x:v>
      </x:c>
      <x:c r="X20" s="28" t="str">
        <x:v>Facts from source; product column is interpretation</x:v>
      </x:c>
      <x:c r="Y20" s="28" t="str">
        <x:v>A normal noncontrast CT does not rule out early ischemic stroke/LVO.</x:v>
      </x:c>
    </x:row>
    <x:row r="21" ht="72" customHeight="1">
      <x:c r="A21" s="28" t="str">
        <x:v>B-017</x:v>
      </x:c>
      <x:c r="B21" s="28" t="str">
        <x:v>Critical Echocardiogram Result Lost to Follow-up</x:v>
      </x:c>
      <x:c r="C21" s="28" t="str">
        <x:v>https://psnet.ahrq.gov/web-mm/critical-echocardiogram-result-lost-follow</x:v>
      </x:c>
      <x:c r="D21" s="28" t="str">
        <x:v>AHRQ PSNet WebM&amp;M case analysis</x:v>
      </x:c>
      <x:c r="E21" s="28" t="str">
        <x:v>2023-06-14</x:v>
      </x:c>
      <x:c r="F21" s="28" t="str">
        <x:v>United States</x:v>
      </x:c>
      <x:c r="G21" s="28" t="str">
        <x:v>inpatient ward; discharge; skilled nursing facility; repeat admission</x:v>
      </x:c>
      <x:c r="H21" s="28" t="str">
        <x:v>hospital + SNF</x:v>
      </x:c>
      <x:c r="I21" s="28" t="str">
        <x:v>imaging interpretation; discharge; follow-up; repeat visit</x:v>
      </x:c>
      <x:c r="J21" s="28" t="str">
        <x:v>Endocarditis / infected pacemaker wires</x:v>
      </x:c>
      <x:c r="K21" s="28" t="str">
        <x:v>63-year-old skilled-nursing-facility patient with shortness of breath/heart failure; echocardiogram pending at discharge.</x:v>
      </x:c>
      <x:c r="L21" s="28" t="str">
        <x:v>Discharged before echo finalization; critical vegetation finding not flagged to primary team or SNF plan.</x:v>
      </x:c>
      <x:c r="M21" s="28" t="str">
        <x:v>Echo showing vegetation on pacemaker wires; result routed to ordering resident, not ongoing care team.</x:v>
      </x:c>
      <x:c r="N21" s="28" t="str">
        <x:v>2 weeks to readmission; later death</x:v>
      </x:c>
      <x:c r="O21" s="28" t="str">
        <x:v>Critical echo result finalized post-discharge; no reliable follow-up system.</x:v>
      </x:c>
      <x:c r="P21" s="28" t="str">
        <x:v>Ordering resident; primary inpatient team; cardiology/echo lab; SNF clinicians</x:v>
      </x:c>
      <x:c r="Q21" s="28" t="str">
        <x:v>Readmitted with endocarditis/infected pacemaker wires; complicated course and death.</x:v>
      </x:c>
      <x:c r="R21" s="28" t="str">
        <x:v>abnormal result not followed up; discharge pending result gap; no follow-up ownership; poor handoff; imaging/report communication gap</x:v>
      </x:c>
      <x:c r="S21" s="28" t="str"/>
      <x:c r="T21" s="28" t="str"/>
      <x:c r="U21" s="28" t="str">
        <x:v>Pending tests after discharge had no single accountable owner across settings.</x:v>
      </x:c>
      <x:c r="V21" s="28" t="str">
        <x:v>Discharge-pending-test dashboard with responsible owner, recipient, criticality, and closure proof.</x:v>
      </x:c>
      <x:c r="W21" s="28" t="str">
        <x:v>high</x:v>
      </x:c>
      <x:c r="X21" s="28" t="str">
        <x:v>Facts from source; product column is interpretation</x:v>
      </x:c>
      <x:c r="Y21" s="28" t="str">
        <x:v>This case bridges hospital, resident workflow, and SNF handoff.</x:v>
      </x:c>
    </x:row>
    <x:row r="22" ht="72" customHeight="1">
      <x:c r="A22" s="28" t="str">
        <x:v>B-018</x:v>
      </x:c>
      <x:c r="B22" s="28" t="str">
        <x:v>Failures in communication or follow-up of unexpected significant radiological findings</x:v>
      </x:c>
      <x:c r="C22" s="28" t="str">
        <x:v>https://www.hssib.org.uk/patient-safety-investigations/failures-in-communication-or-follow-up-of-unexpected-significant-radiological-findings/investigation-report/</x:v>
      </x:c>
      <x:c r="D22" s="28" t="str">
        <x:v>UK HSSIB patient safety investigation</x:v>
      </x:c>
      <x:c r="E22" s="28" t="str">
        <x:v>2022-10-21</x:v>
      </x:c>
      <x:c r="F22" s="28" t="str">
        <x:v>England / United Kingdom</x:v>
      </x:c>
      <x:c r="G22" s="28" t="str">
        <x:v>emergency department; hospital outpatient; referral</x:v>
      </x:c>
      <x:c r="H22" s="28" t="str">
        <x:v>NHS acute hospitals/radiology</x:v>
      </x:c>
      <x:c r="I22" s="28" t="str">
        <x:v>imaging interpretation; discharge; referral; follow-up</x:v>
      </x:c>
      <x:c r="J22" s="28" t="str">
        <x:v>Possible lung cancer or other unexpected significant radiology finding</x:v>
      </x:c>
      <x:c r="K22" s="28" t="str">
        <x:v>Unexpected significant findings on chest X-rays requested by ED clinicians.</x:v>
      </x:c>
      <x:c r="L22" s="28" t="str">
        <x:v>Radiology report communication relied on variable local processes, printing/hand delivery, and unclear acknowledgment.</x:v>
      </x:c>
      <x:c r="M22" s="28" t="str">
        <x:v>National risk that unexpected findings are not seen, acknowledged, acted upon, or communicated to patients.</x:v>
      </x:c>
      <x:c r="N22" s="28" t="str">
        <x:v>Varied; national serious incidents include delayed lung cancer diagnosis</x:v>
      </x:c>
      <x:c r="O22" s="28" t="str">
        <x:v>Chest X-ray reports could be finalized after ED discharge with no monitored acknowledgment.</x:v>
      </x:c>
      <x:c r="P22" s="28" t="str">
        <x:v>Radiologists; ED clinicians; reporting systems; pathway coordinators</x:v>
      </x:c>
      <x:c r="Q22" s="28" t="str">
        <x:v>Investigation led to safety recommendations/actions including acknowledgment and pathway coordinator roles.</x:v>
      </x:c>
      <x:c r="R22" s="28" t="str">
        <x:v>imaging/report communication gap; abnormal result not followed up; no follow-up ownership; poor handoff; fragmented care; patient not informed</x:v>
      </x:c>
      <x:c r="S22" s="28" t="str"/>
      <x:c r="T22" s="28" t="str"/>
      <x:c r="U22" s="28" t="str">
        <x:v>Multi-step report-to-action chain had no assurance that action happened.</x:v>
      </x:c>
      <x:c r="V22" s="28" t="str">
        <x:v>Create radiology finding lifecycle: unexpected finding -&gt; recipient acknowledgment -&gt; patient notification -&gt; referral action -&gt; closure.</x:v>
      </x:c>
      <x:c r="W22" s="28" t="str">
        <x:v>high</x:v>
      </x:c>
      <x:c r="X22" s="28" t="str">
        <x:v>Facts from source; product column is interpretation</x:v>
      </x:c>
      <x:c r="Y22" s="28" t="str">
        <x:v>System-level investigation rather than single patient case; retained because it documents real workflow failures.</x:v>
      </x:c>
    </x:row>
    <x:row r="23" ht="72" customHeight="1">
      <x:c r="A23" s="28" t="str">
        <x:v>B-019</x:v>
      </x:c>
      <x:c r="B23" s="28" t="str">
        <x:v>Woman diagnosed with terminal cervical cancer after NHS missed smear tests</x:v>
      </x:c>
      <x:c r="C23" s="28" t="str">
        <x:v>https://www.independent.co.uk/news/health/cervical-cancer-screens-misdiagnosis-nhs-b2563898.html</x:v>
      </x:c>
      <x:c r="D23" s="28" t="str">
        <x:v>News report with legal admission/public complaint</x:v>
      </x:c>
      <x:c r="E23" s="28" t="str">
        <x:v>2024; accessed 2026-05-30</x:v>
      </x:c>
      <x:c r="F23" s="28" t="str">
        <x:v>England / United Kingdom</x:v>
      </x:c>
      <x:c r="G23" s="28" t="str">
        <x:v>public health screening; specialist clinic; hospital outpatient</x:v>
      </x:c>
      <x:c r="H23" s="28" t="str">
        <x:v>NHS screening/pathology/gynecology</x:v>
      </x:c>
      <x:c r="I23" s="28" t="str">
        <x:v>public health screening; lab interpretation; diagnosis discussion; follow-up</x:v>
      </x:c>
      <x:c r="J23" s="28" t="str">
        <x:v>Cervical cancer</x:v>
      </x:c>
      <x:c r="K23" s="28" t="str">
        <x:v>Abnormal smear and later warning symptoms reportedly dismissed as constipation.</x:v>
      </x:c>
      <x:c r="L23" s="28" t="str">
        <x:v>Abnormal smear/biopsies not correctly identified; warning signs repeatedly attributed to constipation.</x:v>
      </x:c>
      <x:c r="M23" s="28" t="str">
        <x:v>Cervical abnormalities and cancer warning signs; cancer discovered after voluntary hysterectomy.</x:v>
      </x:c>
      <x:c r="N23" s="28" t="str">
        <x:v>About 9 years of missed opportunities reported</x:v>
      </x:c>
      <x:c r="O23" s="28" t="str">
        <x:v>Smear/biopsy pathology errors reported; final diagnosis after hysterectomy pathology.</x:v>
      </x:c>
      <x:c r="P23" s="28" t="str">
        <x:v>Screening/pathology services; gynecology/clinicians; NHS trust</x:v>
      </x:c>
      <x:c r="Q23" s="28" t="str">
        <x:v>Trust admitted liability and settlement reported; pathway changes described.</x:v>
      </x:c>
      <x:c r="R23" s="28" t="str">
        <x:v>abnormal result not followed up; symptom dismissed; bias or minimization; no follow-up ownership; public screening failure</x:v>
      </x:c>
      <x:c r="S23" s="28" t="str">
        <x:v>Patient urged others to 'trust their instincts.'</x:v>
      </x:c>
      <x:c r="T23" s="28" t="str">
        <x:v>Trust apology reported in source.</x:v>
      </x:c>
      <x:c r="U23" s="28" t="str">
        <x:v>Screening result and symptom follow-up failed over years.</x:v>
      </x:c>
      <x:c r="V23" s="28" t="str">
        <x:v>Screening safety layer: patient-visible abnormal-history timeline, second-review triggers, and symptom/result reconciliation.</x:v>
      </x:c>
      <x:c r="W23" s="28" t="str">
        <x:v>medium</x:v>
      </x:c>
      <x:c r="X23" s="28" t="str">
        <x:v>Facts from article; product column is interpretation</x:v>
      </x:c>
      <x:c r="Y23" s="28" t="str">
        <x:v>Use cautiously: source is journalism, but cites legal admission/settlement and trust response.</x:v>
      </x:c>
    </x:row>
    <x:row r="24" ht="72" customHeight="1">
      <x:c r="A24" s="28" t="str">
        <x:v>B-020</x:v>
      </x:c>
      <x:c r="B24" s="28" t="str">
        <x:v>Long covid and medical gaslighting: Dismissal, delayed diagnosis, and deferred treatment</x:v>
      </x:c>
      <x:c r="C24" s="28" t="str">
        <x:v>https://www.sciencedirect.com/science/article/pii/S2667321522001299</x:v>
      </x:c>
      <x:c r="D24" s="28" t="str">
        <x:v>Peer-reviewed qualitative survey article</x:v>
      </x:c>
      <x:c r="E24" s="28" t="str">
        <x:v>2022</x:v>
      </x:c>
      <x:c r="F24" s="28" t="str">
        <x:v>United States</x:v>
      </x:c>
      <x:c r="G24" s="28" t="str">
        <x:v>primary care; specialist clinic; telehealth</x:v>
      </x:c>
      <x:c r="H24" s="28" t="str">
        <x:v>mixed outpatient care</x:v>
      </x:c>
      <x:c r="I24" s="28" t="str">
        <x:v>first clinician assessment; medical history; diagnosis discussion; referral; long-term monitoring</x:v>
      </x:c>
      <x:c r="J24" s="28" t="str">
        <x:v>Long COVID / post-acute sequelae of COVID-19</x:v>
      </x:c>
      <x:c r="K24" s="28" t="str">
        <x:v>Persistent multi-system symptoms after COVID; patients described not being believed or having symptoms minimized.</x:v>
      </x:c>
      <x:c r="L24" s="28" t="str">
        <x:v>Symptoms dismissed or attributed to other causes; diagnostic odysseys and deferred treatment.</x:v>
      </x:c>
      <x:c r="M24" s="28" t="str">
        <x:v>Long COVID as a new/poorly understood condition requiring recognition despite normal or nonspecific tests.</x:v>
      </x:c>
      <x:c r="N24" s="28" t="str">
        <x:v>Variable; described as lengthy diagnostic odysseys</x:v>
      </x:c>
      <x:c r="O24" s="28" t="str">
        <x:v>Mixed/unclear; survey emphasizes dismissal and lack of treatment options.</x:v>
      </x:c>
      <x:c r="P24" s="28" t="str">
        <x:v>Various clinicians across outpatient settings</x:v>
      </x:c>
      <x:c r="Q24" s="28" t="str">
        <x:v>Study analyzed 334 U.S. respondents' accounts of medical gaslighting.</x:v>
      </x:c>
      <x:c r="R24" s="28" t="str">
        <x:v>doctor did not listen; symptom dismissed; chronic illness invalidation; no one connected the dots; normal-test trap; patient self-advocacy required</x:v>
      </x:c>
      <x:c r="S24" s="28" t="str">
        <x:v>Patients described dismissal of their experience.</x:v>
      </x:c>
      <x:c r="T24" s="28" t="str"/>
      <x:c r="U24" s="28" t="str">
        <x:v>New chronic condition lacked stable diagnostic workflow and validation.</x:v>
      </x:c>
      <x:c r="V24" s="28" t="str">
        <x:v>Capture patient-generated longitudinal symptom burden and prevent closure solely because routine tests are normal.</x:v>
      </x:c>
      <x:c r="W24" s="28" t="str">
        <x:v>medium</x:v>
      </x:c>
      <x:c r="X24" s="28" t="str">
        <x:v>Facts from source; product column is interpretation</x:v>
      </x:c>
      <x:c r="Y24" s="28" t="str">
        <x:v>Not one case; included as documented patient-voice pattern.</x:v>
      </x:c>
    </x:row>
    <x:row r="25" ht="72" customHeight="1">
      <x:c r="A25" s="28" t="str">
        <x:v>B-021</x:v>
      </x:c>
      <x:c r="B25" s="28" t="str">
        <x:v>Dysautonomia International POTS Patient Survey</x:v>
      </x:c>
      <x:c r="C25" s="28" t="str">
        <x:v>https://www.dysautonomiainternational.org/page.php?ID=184</x:v>
      </x:c>
      <x:c r="D25" s="28" t="str">
        <x:v>Patient-advocacy survey report</x:v>
      </x:c>
      <x:c r="E25" s="28" t="str">
        <x:v>2013 survey; page accessed 2026-05-30</x:v>
      </x:c>
      <x:c r="F25" s="28" t="str">
        <x:v>International / mostly patient-reported</x:v>
      </x:c>
      <x:c r="G25" s="28" t="str">
        <x:v>primary care; emergency department; specialist clinic</x:v>
      </x:c>
      <x:c r="H25" s="28" t="str">
        <x:v>mixed outpatient/ED</x:v>
      </x:c>
      <x:c r="I25" s="28" t="str">
        <x:v>medical history; first clinician assessment; referral; specialist review; long-term monitoring</x:v>
      </x:c>
      <x:c r="J25" s="28" t="str">
        <x:v>Dysautonomia / POTS</x:v>
      </x:c>
      <x:c r="K25" s="28" t="str">
        <x:v>Orthostatic intolerance, tachycardia, dizziness, fatigue and multi-system symptoms.</x:v>
      </x:c>
      <x:c r="L25" s="28" t="str">
        <x:v>Symptoms told to be anxiety or 'all in your head'; repeated doctors before diagnosis.</x:v>
      </x:c>
      <x:c r="M25" s="28" t="str">
        <x:v>POTS/dysautonomia pattern requiring orthostatic vitals/tilt testing and specialist recognition.</x:v>
      </x:c>
      <x:c r="N25" s="28" t="str">
        <x:v>Average diagnostic delay 5 years 11 months reported</x:v>
      </x:c>
      <x:c r="O25" s="28" t="str">
        <x:v>Routine labs often non-diagnostic; orthostatic testing needed but often not performed.</x:v>
      </x:c>
      <x:c r="P25" s="28" t="str">
        <x:v>Primary care, ED clinicians, cardiology/neurology/autonomic specialists</x:v>
      </x:c>
      <x:c r="Q25" s="28" t="str">
        <x:v>Survey quantified delay and misattribution; diagnosis often after multiple clinicians.</x:v>
      </x:c>
      <x:c r="R25" s="28" t="str">
        <x:v>mental-health misattribution; normal-test trap; rare disease delay; patient self-advocacy required; wrong specialty; chronic illness invalidation</x:v>
      </x:c>
      <x:c r="S25" s="28" t="str">
        <x:v>Survey reports many were told symptoms were 'all in your head.'</x:v>
      </x:c>
      <x:c r="T25" s="28" t="str"/>
      <x:c r="U25" s="28" t="str">
        <x:v>A simple orthostatic pattern is missed when symptoms are separated by specialty.</x:v>
      </x:c>
      <x:c r="V25" s="28" t="str">
        <x:v>Add orthostatic-vital workflow and patient-triggered POTS screener for recurrent tachycardia/dizziness/fatigue complaints.</x:v>
      </x:c>
      <x:c r="W25" s="28" t="str">
        <x:v>medium</x:v>
      </x:c>
      <x:c r="X25" s="28" t="str">
        <x:v>Facts from source; product column is interpretation</x:v>
      </x:c>
      <x:c r="Y25" s="28" t="str">
        <x:v>Survey has advocacy-source limitations but valuable patient voice and numeric delay pattern.</x:v>
      </x:c>
    </x:row>
    <x:row r="26" ht="72" customHeight="1">
      <x:c r="A26" s="28" t="str">
        <x:v>B-022</x:v>
      </x:c>
      <x:c r="B26" s="28" t="str">
        <x:v>Devon woman with ME asked GP to help her get enough food to live, inquest hears</x:v>
      </x:c>
      <x:c r="C26" s="28" t="str">
        <x:v>https://www.theguardian.com/society/article/2024/jul/22/devon-woman-with-me-asked-gp-to-help-her-get-enough-food-to-live-inquest-hears</x:v>
      </x:c>
      <x:c r="D26" s="28" t="str">
        <x:v>News report of coroner's inquest</x:v>
      </x:c>
      <x:c r="E26" s="28" t="str">
        <x:v>2024-07-22; modified 2025-04-02</x:v>
      </x:c>
      <x:c r="F26" s="28" t="str">
        <x:v>England / United Kingdom</x:v>
      </x:c>
      <x:c r="G26" s="28" t="str">
        <x:v>primary care; hospital inpatient; home/community visit</x:v>
      </x:c>
      <x:c r="H26" s="28" t="str">
        <x:v>NHS GP + hospital + community care</x:v>
      </x:c>
      <x:c r="I26" s="28" t="str">
        <x:v>before visit; first clinician assessment; inpatient assessment; discharge; long-term monitoring</x:v>
      </x:c>
      <x:c r="J26" s="28" t="str">
        <x:v>Severe ME/CFS with malnutrition/dehydration risk</x:v>
      </x:c>
      <x:c r="K26" s="28" t="str">
        <x:v>Severe ME/CFS, inability to sit up/chew, inability to obtain enough nutrition/hydration.</x:v>
      </x:c>
      <x:c r="L26" s="28" t="str">
        <x:v>A hospital doctor reportedly found no 'anything medical' wrong; support gap persisted.</x:v>
      </x:c>
      <x:c r="M26" s="28" t="str">
        <x:v>Life-threatening nutritional/hydration consequences of severe ME/CFS and need for coordinated care.</x:v>
      </x:c>
      <x:c r="N26" s="28" t="str">
        <x:v>Long-standing illness; critical deterioration in 2021</x:v>
      </x:c>
      <x:c r="O26" s="28" t="str">
        <x:v>Not primarily lab/imaging; functional severity and nutrition intake were the signals.</x:v>
      </x:c>
      <x:c r="P26" s="28" t="str">
        <x:v>GP; hospital clinicians; family caregiver; coroner/inquest witnesses</x:v>
      </x:c>
      <x:c r="Q26" s="28" t="str">
        <x:v>Inquest heard repeated pleas for help and system inability to support care.</x:v>
      </x:c>
      <x:c r="R26" s="28" t="str">
        <x:v>symptom dismissed; chronic illness invalidation; no follow-up ownership; fragmented care; home/community signal lost; rare disease delay</x:v>
      </x:c>
      <x:c r="S26" s="28" t="str">
        <x:v>She asked for help to 'get enough food to live.'</x:v>
      </x:c>
      <x:c r="T26" s="28" t="str">
        <x:v>Clinician witness said, 'We needed help. We all needed help.'</x:v>
      </x:c>
      <x:c r="U26" s="28" t="str">
        <x:v>Functional decline and care needs fell between medical and social-care boundaries.</x:v>
      </x:c>
      <x:c r="V26" s="28" t="str">
        <x:v>Track functional intake, hydration, and care capacity as clinical red flags, not just social notes.</x:v>
      </x:c>
      <x:c r="W26" s="28" t="str">
        <x:v>medium</x:v>
      </x:c>
      <x:c r="X26" s="28" t="str">
        <x:v>Facts from article/inquest reporting; product column is interpretation</x:v>
      </x:c>
      <x:c r="Y26" s="28" t="str">
        <x:v>Highly sensitive case; included with minimal public details.</x:v>
      </x:c>
    </x:row>
    <x:row r="27" ht="72" customHeight="1">
      <x:c r="A27" s="28" t="str">
        <x:v>B-023</x:v>
      </x:c>
      <x:c r="B27" s="28" t="str">
        <x:v>After Fighting to Receive a Lupus Diagnosis, I'm Making Sure Others Feel Seen</x:v>
      </x:c>
      <x:c r="C27" s="28" t="str">
        <x:v>https://www.popsugar.com/health/how-i-got-my-lupus-diagnosis-personal-essay-49345999</x:v>
      </x:c>
      <x:c r="D27" s="28" t="str">
        <x:v>Patient essay / public patient story</x:v>
      </x:c>
      <x:c r="E27" s="28" t="str">
        <x:v>2026-05-04</x:v>
      </x:c>
      <x:c r="F27" s="28" t="str">
        <x:v>United States</x:v>
      </x:c>
      <x:c r="G27" s="28" t="str">
        <x:v>primary care; specialist clinic</x:v>
      </x:c>
      <x:c r="H27" s="28" t="str">
        <x:v>outpatient primary care + rheumatology</x:v>
      </x:c>
      <x:c r="I27" s="28" t="str">
        <x:v>medical history; labs ordered; lab interpretation; referral; patient self-advocacy</x:v>
      </x:c>
      <x:c r="J27" s="28" t="str">
        <x:v>Lupus / systemic autoimmune disease</x:v>
      </x:c>
      <x:c r="K27" s="28" t="str">
        <x:v>Fatigue, joint pain, high fevers, rash/photos, family history of lupus; basic blood test reportedly normal.</x:v>
      </x:c>
      <x:c r="L27" s="28" t="str">
        <x:v>Stress/anxiety; symptoms minimized and not escalated to autoimmune testing.</x:v>
      </x:c>
      <x:c r="M27" s="28" t="str">
        <x:v>Family history, rash/photos, persistent systemic symptoms; ANA testing led to rheumatology referral and diagnosis.</x:v>
      </x:c>
      <x:c r="N27" s="28" t="str">
        <x:v>5 years</x:v>
      </x:c>
      <x:c r="O27" s="28" t="str">
        <x:v>Basic tests normal; ANA requested by patient was positive.</x:v>
      </x:c>
      <x:c r="P27" s="28" t="str">
        <x:v>Several doctors; later rheumatology</x:v>
      </x:c>
      <x:c r="Q27" s="28" t="str">
        <x:v>Patient researched, returned with family history/photos, insisted on ANA; positive result led to diagnosis.</x:v>
      </x:c>
      <x:c r="R27" s="28" t="str">
        <x:v>mental-health misattribution; normal-test trap; missing family history; patient self-advocacy required; symptom dismissed; bias or minimization</x:v>
      </x:c>
      <x:c r="S27" s="28" t="str">
        <x:v>Patient wrote that anxiety was used against her.</x:v>
      </x:c>
      <x:c r="T27" s="28" t="str"/>
      <x:c r="U27" s="28" t="str">
        <x:v>Basic normal labs blocked deeper autoimmune evaluation despite systemic pattern.</x:v>
      </x:c>
      <x:c r="V27" s="28" t="str">
        <x:v>Give patients structured way to upload symptom photos, family history, and flare timelines; flag repeated systemic symptoms even with normal basic labs.</x:v>
      </x:c>
      <x:c r="W27" s="28" t="str">
        <x:v>low</x:v>
      </x:c>
      <x:c r="X27" s="28" t="str">
        <x:v>Facts from patient essay; product column is interpretation</x:v>
      </x:c>
      <x:c r="Y27" s="28" t="str">
        <x:v>Patient-story evidence; useful for voice/pattern, not incidence.</x:v>
      </x:c>
    </x:row>
    <x:row r="28" ht="72" customHeight="1">
      <x:c r="A28" s="28" t="str">
        <x:v>B-024</x:v>
      </x:c>
      <x:c r="B28" s="28" t="str">
        <x:v>Claire's Story: Gender Bias &amp; the Long Road to Diagnosis</x:v>
      </x:c>
      <x:c r="C28" s="28" t="str">
        <x:v>https://www.autoimmuneinstitute.org/autoimmune_stories/claires-story-gender-bias-the-long-road-to-diagnosis/</x:v>
      </x:c>
      <x:c r="D28" s="28" t="str">
        <x:v>Advocacy group patient story</x:v>
      </x:c>
      <x:c r="E28" s="28" t="str">
        <x:v>Accessed 2026-05-30</x:v>
      </x:c>
      <x:c r="F28" s="28" t="str">
        <x:v>United States</x:v>
      </x:c>
      <x:c r="G28" s="28" t="str">
        <x:v>primary care; specialist clinic; inpatient ward; emergency department</x:v>
      </x:c>
      <x:c r="H28" s="28" t="str">
        <x:v>outpatient + GI + inpatient</x:v>
      </x:c>
      <x:c r="I28" s="28" t="str">
        <x:v>medical history; referral; specialist review; repeat visit; emergency escalation</x:v>
      </x:c>
      <x:c r="J28" s="28" t="str">
        <x:v>Crohn's disease / inflammatory bowel disease</x:v>
      </x:c>
      <x:c r="K28" s="28" t="str">
        <x:v>Adolescent abdominal pain, malnutrition/hip fracture, recurrent hospitalizations, infections, kidney failure, GI symptoms.</x:v>
      </x:c>
      <x:c r="L28" s="28" t="str">
        <x:v>Eating disorder/stress; too young for colonoscopy; recurrent problems handled episodically.</x:v>
      </x:c>
      <x:c r="M28" s="28" t="str">
        <x:v>Inflammation, ulceration, bleeding on endoscopy/colonoscopy; capsule study confirmed Crohn's.</x:v>
      </x:c>
      <x:c r="N28" s="28" t="str">
        <x:v>Patient reports Crohn's likely for about 8 years before diagnosis</x:v>
      </x:c>
      <x:c r="O28" s="28" t="str">
        <x:v>Earlier colonoscopy was deferred; later endoscopy/colonoscopy/capsule revealed disease.</x:v>
      </x:c>
      <x:c r="P28" s="28" t="str">
        <x:v>Primary care; GI; eating disorder clinic; hospital clinicians; infectious disease</x:v>
      </x:c>
      <x:c r="Q28" s="28" t="str">
        <x:v>Different GI performed endoscopy/colonoscopy; capsule endoscopy confirmed Crohn's.</x:v>
      </x:c>
      <x:c r="R28" s="28" t="str">
        <x:v>bias or minimization; wrong specialty; symptom dismissed; repeated visits ignored; patient self-advocacy required; no one connected the dots</x:v>
      </x:c>
      <x:c r="S28" s="28" t="str">
        <x:v>Story attributes delay partly to being a young woman.</x:v>
      </x:c>
      <x:c r="T28" s="28" t="str"/>
      <x:c r="U28" s="28" t="str">
        <x:v>Age/gender assumptions diverted GI disease into behavioral explanation.</x:v>
      </x:c>
      <x:c r="V28" s="28" t="str">
        <x:v>Use red-flag pediatric/adolescent GI triggers: weight loss, fractures/malnutrition, recurrent admissions, infections, and persistent abdominal pain.</x:v>
      </x:c>
      <x:c r="W28" s="28" t="str">
        <x:v>low</x:v>
      </x:c>
      <x:c r="X28" s="28" t="str">
        <x:v>Facts from advocacy patient story; product column is interpretation</x:v>
      </x:c>
      <x:c r="Y28" s="28" t="str">
        <x:v>Patient-story evidence; included for bias/young-woman workflow pattern.</x:v>
      </x:c>
    </x:row>
    <x:row r="29" ht="72" customHeight="1">
      <x:c r="A29" s="28" t="str">
        <x:v>B-025</x:v>
      </x:c>
      <x:c r="B29" s="28" t="str">
        <x:v>Pathways to cervical cancer diagnosis among women in Accra, Ghana</x:v>
      </x:c>
      <x:c r="C29" s="28" t="str">
        <x:v>https://doaj.org/article/7ae6f62fe6174a639fc8a63fd8a97cfd</x:v>
      </x:c>
      <x:c r="D29" s="28" t="str">
        <x:v>Peer-reviewed qualitative study (open-access indexed)</x:v>
      </x:c>
      <x:c r="E29" s="28" t="str">
        <x:v>Accessed 2026-05-30</x:v>
      </x:c>
      <x:c r="F29" s="28" t="str">
        <x:v>Ghana</x:v>
      </x:c>
      <x:c r="G29" s="28" t="str">
        <x:v>primary care; hospital outpatient; public health screening; traditional/community care</x:v>
      </x:c>
      <x:c r="H29" s="28" t="str">
        <x:v>mixed public/private/traditional providers</x:v>
      </x:c>
      <x:c r="I29" s="28" t="str">
        <x:v>before visit; first clinician assessment; referral; labs/imaging ordered; repeat visit</x:v>
      </x:c>
      <x:c r="J29" s="28" t="str">
        <x:v>Cervical cancer</x:v>
      </x:c>
      <x:c r="K29" s="28" t="str">
        <x:v>Women with symptoms moved across hospitals and traditional remedies before diagnosis.</x:v>
      </x:c>
      <x:c r="L29" s="28" t="str">
        <x:v>Missed diagnoses in hospitals; providers sometimes did not recommend diagnostic tests; patients used traditional remedies.</x:v>
      </x:c>
      <x:c r="M29" s="28" t="str">
        <x:v>Need for timely cervical cancer testing/referral when symptoms persist.</x:v>
      </x:c>
      <x:c r="N29" s="28" t="str">
        <x:v>Varied; qualitative accounts of delays</x:v>
      </x:c>
      <x:c r="O29" s="28" t="str">
        <x:v>Testing sometimes not recommended; diagnostic pathway fragmented.</x:v>
      </x:c>
      <x:c r="P29" s="28" t="str">
        <x:v>Hospital clinicians; traditional providers; patients/families</x:v>
      </x:c>
      <x:c r="Q29" s="28" t="str">
        <x:v>Study interviewed 12 women in Accra about pathways to diagnosis.</x:v>
      </x:c>
      <x:c r="R29" s="28" t="str">
        <x:v>access barrier; repeated visits ignored; no follow-up ownership; fragmented care; referral delay; low-resource diagnostic gap</x:v>
      </x:c>
      <x:c r="S29" s="28" t="str"/>
      <x:c r="T29" s="28" t="str"/>
      <x:c r="U29" s="28" t="str">
        <x:v>Patients navigated plural care systems with incomplete diagnostic escalation.</x:v>
      </x:c>
      <x:c r="V29" s="28" t="str">
        <x:v>Design culturally aware referral prompts and community-to-clinic escalation tools for persistent gynecologic symptoms.</x:v>
      </x:c>
      <x:c r="W29" s="28" t="str">
        <x:v>medium</x:v>
      </x:c>
      <x:c r="X29" s="28" t="str">
        <x:v>Facts from study abstract/page; product column is interpretation</x:v>
      </x:c>
      <x:c r="Y29" s="28" t="str">
        <x:v>Important non-US/Europe pattern: hospital misses plus traditional-care pathway.</x:v>
      </x:c>
    </x:row>
    <x:row r="30" ht="72" customHeight="1">
      <x:c r="A30" s="28" t="str">
        <x:v>B-026</x:v>
      </x:c>
      <x:c r="B30" s="28" t="str">
        <x:v>Barriers to prompt and effective malaria treatment among children in western Kenya</x:v>
      </x:c>
      <x:c r="C30" s="28" t="str">
        <x:v>https://journals.plos.org/globalpublichealth/article?id=10.1371/journal.pgph.0001532</x:v>
      </x:c>
      <x:c r="D30" s="28" t="str">
        <x:v>Peer-reviewed PLOS Global Public Health study</x:v>
      </x:c>
      <x:c r="E30" s="28" t="str">
        <x:v>2023; accessed 2026-05-30</x:v>
      </x:c>
      <x:c r="F30" s="28" t="str">
        <x:v>Kenya</x:v>
      </x:c>
      <x:c r="G30" s="28" t="str">
        <x:v>community health center; rural clinic; low-resource clinic</x:v>
      </x:c>
      <x:c r="H30" s="28" t="str">
        <x:v>public health facilities / dispensaries</x:v>
      </x:c>
      <x:c r="I30" s="28" t="str">
        <x:v>before visit; nurse triage; labs ordered; lab interpretation; treatment decision</x:v>
      </x:c>
      <x:c r="J30" s="28" t="str">
        <x:v>Malaria / febrile illness in children</x:v>
      </x:c>
      <x:c r="K30" s="28" t="str">
        <x:v>Fever in children; care-seeking affected by access/payment; clinics sometimes lacked RDTs or microscopy.</x:v>
      </x:c>
      <x:c r="L30" s="28" t="str">
        <x:v>Diagnosis based on clinical signs when RDT stock-outs or microscopy gaps occurred.</x:v>
      </x:c>
      <x:c r="M30" s="28" t="str">
        <x:v>Need for confirmatory malaria testing and appropriate treatment despite supply constraints.</x:v>
      </x:c>
      <x:c r="N30" s="28" t="str">
        <x:v>Not a delay case; workflow risk documented</x:v>
      </x:c>
      <x:c r="O30" s="28" t="str">
        <x:v>Three dispensaries lacked microscopy labs and had frequent RDT stock-outs; reliance on clinical signs.</x:v>
      </x:c>
      <x:c r="P30" s="28" t="str">
        <x:v>Caregivers; facility clinicians; laboratory staff</x:v>
      </x:c>
      <x:c r="Q30" s="28" t="str">
        <x:v>Study evaluated passive case detection and facility barriers.</x:v>
      </x:c>
      <x:c r="R30" s="28" t="str">
        <x:v>low-resource diagnostic supply gap; access barrier; labs missing; potential misclassification; public health workflow gap</x:v>
      </x:c>
      <x:c r="S30" s="28" t="str"/>
      <x:c r="T30" s="28" t="str"/>
      <x:c r="U30" s="28" t="str">
        <x:v>Diagnostic availability itself determines whether signals are identified.</x:v>
      </x:c>
      <x:c r="V30" s="28" t="str">
        <x:v>Expose stockout-aware decision support: if RDT unavailable, record reason, alternative testing/referral, and follow-up safety net.</x:v>
      </x:c>
      <x:c r="W30" s="28" t="str">
        <x:v>high</x:v>
      </x:c>
      <x:c r="X30" s="28" t="str">
        <x:v>Facts from study; product column is interpretation</x:v>
      </x:c>
      <x:c r="Y30" s="28" t="str">
        <x:v>Included as low-resource workflow documentation, not a single missed-diagnosis case.</x:v>
      </x:c>
    </x:row>
    <x:row r="31" ht="72" customHeight="1">
      <x:c r="A31" s="28" t="str">
        <x:v>B-027</x:v>
      </x:c>
      <x:c r="B31" s="28" t="str">
        <x:v>Malaria rapid diagnostic test stockouts and health facility readiness in Mozambique</x:v>
      </x:c>
      <x:c r="C31" s="28" t="str">
        <x:v>https://link.springer.com/article/10.1186/1475-2875-13-295</x:v>
      </x:c>
      <x:c r="D31" s="28" t="str">
        <x:v>Peer-reviewed Malaria Journal study</x:v>
      </x:c>
      <x:c r="E31" s="28" t="str">
        <x:v>2014; accessed 2026-05-30</x:v>
      </x:c>
      <x:c r="F31" s="28" t="str">
        <x:v>Mozambique</x:v>
      </x:c>
      <x:c r="G31" s="28" t="str">
        <x:v>low-resource clinic; public health screening; community health center</x:v>
      </x:c>
      <x:c r="H31" s="28" t="str">
        <x:v>public health facilities</x:v>
      </x:c>
      <x:c r="I31" s="28" t="str">
        <x:v>labs ordered; lab interpretation; treatment decision; public health surveillance</x:v>
      </x:c>
      <x:c r="J31" s="28" t="str">
        <x:v>Malaria / febrile illness</x:v>
      </x:c>
      <x:c r="K31" s="28" t="str">
        <x:v>Febrile patients in facilities where malaria RDT stock-outs were common.</x:v>
      </x:c>
      <x:c r="L31" s="28" t="str">
        <x:v>Testing unavailable during stock-out periods; stock-management processes failed.</x:v>
      </x:c>
      <x:c r="M31" s="28" t="str">
        <x:v>Need for reliable RDT availability and inventory management to prevent missed/misclassified malaria.</x:v>
      </x:c>
      <x:c r="N31" s="28" t="str">
        <x:v>Stock-out periods varied by facility</x:v>
      </x:c>
      <x:c r="O31" s="28" t="str">
        <x:v>RDT stock-outs linked to inventory tracking and process compliance issues.</x:v>
      </x:c>
      <x:c r="P31" s="28" t="str">
        <x:v>Clinic staff; supply chain; health system managers</x:v>
      </x:c>
      <x:c r="Q31" s="28" t="str">
        <x:v>Study observed 15 facilities and analyzed stock-out patterns/causes.</x:v>
      </x:c>
      <x:c r="R31" s="28" t="str">
        <x:v>low-resource diagnostic supply gap; labs missing; no follow-up ownership; process compliance failure; access barrier</x:v>
      </x:c>
      <x:c r="S31" s="28" t="str"/>
      <x:c r="T31" s="28" t="str"/>
      <x:c r="U31" s="28" t="str">
        <x:v>The diagnostic workflow fails before the patient reaches a test because tests are unavailable.</x:v>
      </x:c>
      <x:c r="V31" s="28" t="str">
        <x:v>Integrate diagnostic stock telemetry into triage and surveillance; trigger restock/escalation before depletion.</x:v>
      </x:c>
      <x:c r="W31" s="28" t="str">
        <x:v>high</x:v>
      </x:c>
      <x:c r="X31" s="28" t="str">
        <x:v>Facts from study; product column is interpretation</x:v>
      </x:c>
      <x:c r="Y31" s="28" t="str">
        <x:v>Useful contrast to high-resource failures: missed signals can start in supply chain.</x:v>
      </x:c>
    </x:row>
    <x:row r="32" ht="72" customHeight="1">
      <x:c r="A32" s="28" t="str">
        <x:v>B-028</x:v>
      </x:c>
      <x:c r="B32" s="28" t="str">
        <x:v>COVID-19 and Tuberculosis Co-Occurrence and Missed Opportunities for Diagnosis, California, USA, 2020</x:v>
      </x:c>
      <x:c r="C32" s="28" t="str">
        <x:v>https://wwwnc.cdc.gov/eid/article/30/1/23-0924_article</x:v>
      </x:c>
      <x:c r="D32" s="28" t="str">
        <x:v>CDC Emerging Infectious Diseases peer-reviewed article</x:v>
      </x:c>
      <x:c r="E32" s="28" t="str">
        <x:v>2024-01</x:v>
      </x:c>
      <x:c r="F32" s="28" t="str">
        <x:v>California, United States</x:v>
      </x:c>
      <x:c r="G32" s="28" t="str">
        <x:v>emergency department; urgent care; primary care; inpatient ward</x:v>
      </x:c>
      <x:c r="H32" s="28" t="str">
        <x:v>mixed outpatient/ED/hospital</x:v>
      </x:c>
      <x:c r="I32" s="28" t="str">
        <x:v>first clinician assessment; labs/imaging ordered; repeat visit; diagnosis discussion</x:v>
      </x:c>
      <x:c r="J32" s="28" t="str">
        <x:v>Tuberculosis with COVID-19 co-occurrence or differential</x:v>
      </x:c>
      <x:c r="K32" s="28" t="str">
        <x:v>TB risk factors plus TB symptoms/imaging during the COVID-19 pandemic.</x:v>
      </x:c>
      <x:c r="L32" s="28" t="str">
        <x:v>COVID testing/diagnosis sometimes substituted for TB testing despite TB clues.</x:v>
      </x:c>
      <x:c r="M32" s="28" t="str">
        <x:v>TB risk factors, symptoms, and imaging that should have led to TB testing.</x:v>
      </x:c>
      <x:c r="N32" s="28" t="str">
        <x:v>Median 62.5 days from first missed opportunity to TB testing among cases with missed opportunities</x:v>
      </x:c>
      <x:c r="O32" s="28" t="str">
        <x:v>Missed opportunity defined as no TB testing despite risk/symptoms/imaging.</x:v>
      </x:c>
      <x:c r="P32" s="28" t="str">
        <x:v>Outpatient, ED, and hospital clinicians; public health investigators</x:v>
      </x:c>
      <x:c r="Q32" s="28" t="str">
        <x:v>CDC/local public health investigation quantified delays and missed opportunities.</x:v>
      </x:c>
      <x:c r="R32" s="28" t="str">
        <x:v>anchoring; infectious disease overshadowing; repeated visits ignored; labs missing; imaging finding not acted; no one connected the dots</x:v>
      </x:c>
      <x:c r="S32" s="28" t="str"/>
      <x:c r="T32" s="28" t="str"/>
      <x:c r="U32" s="28" t="str">
        <x:v>A dominant pandemic diagnosis crowded out another high-stakes infectious diagnosis.</x:v>
      </x:c>
      <x:c r="V32" s="28" t="str">
        <x:v>Differential guardrail for syndromic overlap: when COVID is positive but TB risk/imaging exists, require TB-test decision capture.</x:v>
      </x:c>
      <x:c r="W32" s="28" t="str">
        <x:v>high</x:v>
      </x:c>
      <x:c r="X32" s="28" t="str">
        <x:v>Facts from source; product column is interpretation</x:v>
      </x:c>
      <x:c r="Y32" s="28" t="str">
        <x:v>Important example of context-driven anchoring.</x:v>
      </x:c>
    </x:row>
    <x:row r="33" ht="72" customHeight="1">
      <x:c r="A33" s="28" t="str">
        <x:v>B-029</x:v>
      </x:c>
      <x:c r="B33" s="28" t="str">
        <x:v>A woman with recurrent pneumothoraces due to lymphangioleiomyomatosis attack</x:v>
      </x:c>
      <x:c r="C33" s="28" t="str">
        <x:v>https://betsylehmancenterma.gov/best-practices/diagnostic-error/case-studies</x:v>
      </x:c>
      <x:c r="D33" s="28" t="str">
        <x:v>Betsy Lehman Center diagnostic-error case catalog</x:v>
      </x:c>
      <x:c r="E33" s="28" t="str">
        <x:v>Accessed 2026-05-30</x:v>
      </x:c>
      <x:c r="F33" s="28" t="str">
        <x:v>United States</x:v>
      </x:c>
      <x:c r="G33" s="28" t="str">
        <x:v>emergency department; specialist clinic</x:v>
      </x:c>
      <x:c r="H33" s="28" t="str">
        <x:v>ED + outpatient specialty/referral</x:v>
      </x:c>
      <x:c r="I33" s="28" t="str">
        <x:v>emergency escalation; imaging interpretation; referral; repeat visit</x:v>
      </x:c>
      <x:c r="J33" s="28" t="str">
        <x:v>Lymphangioleiomyomatosis (LAM)</x:v>
      </x:c>
      <x:c r="K33" s="28" t="str">
        <x:v>31-year-old woman with recurrent shortness of breath and pneumothorax; CT showed blebs/cysts.</x:v>
      </x:c>
      <x:c r="L33" s="28" t="str">
        <x:v>Pneumothorax episodes treated without referral/workup after CT findings.</x:v>
      </x:c>
      <x:c r="M33" s="28" t="str">
        <x:v>Recurrent pneumothorax and cystic lung CT pattern suggesting LAM.</x:v>
      </x:c>
      <x:c r="N33" s="28" t="str">
        <x:v>Until third episode</x:v>
      </x:c>
      <x:c r="O33" s="28" t="str">
        <x:v>CT showed blebs/cysts; referral/workup did not happen initially.</x:v>
      </x:c>
      <x:c r="P33" s="28" t="str">
        <x:v>ED clinicians; imaging/radiology; later specialists</x:v>
      </x:c>
      <x:c r="Q33" s="28" t="str">
        <x:v>Third episode led to diagnosis of LAM.</x:v>
      </x:c>
      <x:c r="R33" s="28" t="str">
        <x:v>rare disease delay; imaging finding not acted; referral delay; repeated visits ignored; no follow-up ownership</x:v>
      </x:c>
      <x:c r="S33" s="28" t="str"/>
      <x:c r="T33" s="28" t="str"/>
      <x:c r="U33" s="28" t="str">
        <x:v>Unusual imaging pattern lacked a pathway from acute stabilization to rare-disease evaluation.</x:v>
      </x:c>
      <x:c r="V33" s="28" t="str">
        <x:v>Turn radiology pattern + demographic + recurrence into referral prompts for rare but serious diseases.</x:v>
      </x:c>
      <x:c r="W33" s="28" t="str">
        <x:v>medium</x:v>
      </x:c>
      <x:c r="X33" s="28" t="str">
        <x:v>Facts from case-catalog summary; product column is interpretation</x:v>
      </x:c>
      <x:c r="Y33" s="28" t="str">
        <x:v>Case catalog gives summary-level details rather than full report.</x:v>
      </x:c>
    </x:row>
    <x:row r="34" ht="72" customHeight="1">
      <x:c r="A34" s="28" t="str">
        <x:v>B-030</x:v>
      </x:c>
      <x:c r="B34" s="28" t="str">
        <x:v>Multiple clinicians, multiple diagnoses and no timely ultrasound for testicular torsion</x:v>
      </x:c>
      <x:c r="C34" s="28" t="str">
        <x:v>https://betsylehmancenterma.gov/best-practices/diagnostic-error/case-studies</x:v>
      </x:c>
      <x:c r="D34" s="28" t="str">
        <x:v>Betsy Lehman Center diagnostic-error case catalog</x:v>
      </x:c>
      <x:c r="E34" s="28" t="str">
        <x:v>Accessed 2026-05-30</x:v>
      </x:c>
      <x:c r="F34" s="28" t="str">
        <x:v>United States</x:v>
      </x:c>
      <x:c r="G34" s="28" t="str">
        <x:v>emergency department; urgent care</x:v>
      </x:c>
      <x:c r="H34" s="28" t="str">
        <x:v>ED + urgent care</x:v>
      </x:c>
      <x:c r="I34" s="28" t="str">
        <x:v>arrival; first clinician assessment; physical exam; imaging ordered; repeat visit; emergency escalation</x:v>
      </x:c>
      <x:c r="J34" s="28" t="str">
        <x:v>Testicular torsion</x:v>
      </x:c>
      <x:c r="K34" s="28" t="str">
        <x:v>16-year-old with lower abdominal pain, vomiting, and testicular discomfort across multiple visits.</x:v>
      </x:c>
      <x:c r="L34" s="28" t="str">
        <x:v>Multiple diagnoses across ED/urgent care without timely ultrasound.</x:v>
      </x:c>
      <x:c r="M34" s="28" t="str">
        <x:v>Scrotal/testicular complaint with abdominal pain/vomiting should have prompted urgent torsion evaluation.</x:v>
      </x:c>
      <x:c r="N34" s="28" t="str">
        <x:v>About 1 week; orchiectomy</x:v>
      </x:c>
      <x:c r="O34" s="28" t="str">
        <x:v>Ultrasound ultimately showed torsion; testicle removed.</x:v>
      </x:c>
      <x:c r="P34" s="28" t="str">
        <x:v>ED clinicians; urgent care clinicians; ultrasound/radiology; urology/surgery</x:v>
      </x:c>
      <x:c r="Q34" s="28" t="str">
        <x:v>Ultrasound confirmed torsion; orchiectomy performed.</x:v>
      </x:c>
      <x:c r="R34" s="28" t="str">
        <x:v>red flag missed; repeated visits ignored; wrong pathway; imaging delay; pediatric/adolescent missed diagnosis</x:v>
      </x:c>
      <x:c r="S34" s="28" t="str"/>
      <x:c r="T34" s="28" t="str"/>
      <x:c r="U34" s="28" t="str">
        <x:v>Adolescent torsion can present with abdominal symptoms and requires time-critical pathway.</x:v>
      </x:c>
      <x:c r="V34" s="28" t="str">
        <x:v>For adolescent male abdominal pain/vomiting, force testicular symptom/exam prompt and urgent ultrasound timer.</x:v>
      </x:c>
      <x:c r="W34" s="28" t="str">
        <x:v>medium</x:v>
      </x:c>
      <x:c r="X34" s="28" t="str">
        <x:v>Facts from case-catalog summary; product column is interpretation</x:v>
      </x:c>
      <x:c r="Y34" s="28" t="str">
        <x:v>Included because it maps a common stage failure: repeat visits without urgent imaging.</x:v>
      </x:c>
    </x:row>
    <x:row r="35" ht="72" customHeight="1">
      <x:c r="A35" s="28" t="str">
        <x:v>B-031</x:v>
      </x:c>
      <x:c r="B35" s="28" t="str">
        <x:v>Lack of insurance and primary care disrupts workup for suspected colon cancer</x:v>
      </x:c>
      <x:c r="C35" s="28" t="str">
        <x:v>https://betsylehmancenterma.gov/best-practices/diagnostic-error/case-studies</x:v>
      </x:c>
      <x:c r="D35" s="28" t="str">
        <x:v>Betsy Lehman Center diagnostic-error case catalog</x:v>
      </x:c>
      <x:c r="E35" s="28" t="str">
        <x:v>Accessed 2026-05-30</x:v>
      </x:c>
      <x:c r="F35" s="28" t="str">
        <x:v>United States</x:v>
      </x:c>
      <x:c r="G35" s="28" t="str">
        <x:v>primary care; emergency department; hospital outpatient</x:v>
      </x:c>
      <x:c r="H35" s="28" t="str">
        <x:v>safety-net/fragmented outpatient care</x:v>
      </x:c>
      <x:c r="I35" s="28" t="str">
        <x:v>before visit; medical history; referral; follow-up; emergency escalation</x:v>
      </x:c>
      <x:c r="J35" s="28" t="str">
        <x:v>Colon cancer</x:v>
      </x:c>
      <x:c r="K35" s="28" t="str">
        <x:v>37-year-old man with family history of colon cancer and weeks of poor appetite/jaundice.</x:v>
      </x:c>
      <x:c r="L35" s="28" t="str">
        <x:v>Workup disrupted partly by lack of insurance and primary care.</x:v>
      </x:c>
      <x:c r="M35" s="28" t="str">
        <x:v>Family history and symptoms requiring timely cancer evaluation.</x:v>
      </x:c>
      <x:c r="N35" s="28" t="str">
        <x:v>Years from age 37 presentation to death at 41 reported in summary</x:v>
      </x:c>
      <x:c r="O35" s="28" t="str">
        <x:v>Details not fully provided in catalog summary.</x:v>
      </x:c>
      <x:c r="P35" s="28" t="str">
        <x:v>ED/outpatient clinicians; health insurance/access system</x:v>
      </x:c>
      <x:c r="Q35" s="28" t="str">
        <x:v>Diagnosed late; patient died at 41 per catalog summary.</x:v>
      </x:c>
      <x:c r="R35" s="28" t="str">
        <x:v>access barrier; missing family history; referral delay; no follow-up ownership; fragmented care; red flag missed</x:v>
      </x:c>
      <x:c r="S35" s="28" t="str"/>
      <x:c r="T35" s="28" t="str"/>
      <x:c r="U35" s="28" t="str">
        <x:v>Access barriers function as diagnostic black zones.</x:v>
      </x:c>
      <x:c r="V35" s="28" t="str">
        <x:v>Offer safety-net tracking for uninsured/high-risk patients with family-history red flags and incomplete workups.</x:v>
      </x:c>
      <x:c r="W35" s="28" t="str">
        <x:v>medium</x:v>
      </x:c>
      <x:c r="X35" s="28" t="str">
        <x:v>Facts from case-catalog summary; product column is interpretation</x:v>
      </x:c>
      <x:c r="Y35" s="28" t="str">
        <x:v>Useful access-to-diagnosis example; summary-level detail only.</x:v>
      </x:c>
    </x:row>
    <x:row r="36" ht="72" customHeight="1">
      <x:c r="A36" s="28" t="str">
        <x:v>B-032</x:v>
      </x:c>
      <x:c r="B36" s="28" t="str">
        <x:v>Myasthenia gravis is diagnosed after a routine outpatient visit</x:v>
      </x:c>
      <x:c r="C36" s="28" t="str">
        <x:v>https://betsylehmancenterma.gov/best-practices/diagnostic-error/case-studies</x:v>
      </x:c>
      <x:c r="D36" s="28" t="str">
        <x:v>Betsy Lehman Center diagnostic-error case catalog</x:v>
      </x:c>
      <x:c r="E36" s="28" t="str">
        <x:v>Accessed 2026-05-30</x:v>
      </x:c>
      <x:c r="F36" s="28" t="str">
        <x:v>United States</x:v>
      </x:c>
      <x:c r="G36" s="28" t="str">
        <x:v>urgent care; primary care; specialist clinic</x:v>
      </x:c>
      <x:c r="H36" s="28" t="str">
        <x:v>urgent care + outpatient specialists</x:v>
      </x:c>
      <x:c r="I36" s="28" t="str">
        <x:v>first clinician assessment; medical history; referral; specialist review; follow-up</x:v>
      </x:c>
      <x:c r="J36" s="28" t="str">
        <x:v>Myasthenia gravis</x:v>
      </x:c>
      <x:c r="K36" s="28" t="str">
        <x:v>71-year-old man with 1-year fatigue, anorexia, and weight loss; diagnosis delayed over 3 months after urgent care visit.</x:v>
      </x:c>
      <x:c r="L36" s="28" t="str">
        <x:v>Non-specific symptoms did not trigger timely neuromuscular diagnosis pathway.</x:v>
      </x:c>
      <x:c r="M36" s="28" t="str">
        <x:v>Bulbar/neuromuscular pattern if present; progressive fatigue/weight loss requiring diagnostic expansion.</x:v>
      </x:c>
      <x:c r="N36" s="28" t="str">
        <x:v>More than 3 months after urgent care; 1 year symptoms</x:v>
      </x:c>
      <x:c r="O36" s="28" t="str">
        <x:v>Summary does not specify labs/imaging.</x:v>
      </x:c>
      <x:c r="P36" s="28" t="str">
        <x:v>Urgent care clinician; outpatient clinicians; later specialist</x:v>
      </x:c>
      <x:c r="Q36" s="28" t="str">
        <x:v>Diagnosis made after routine outpatient trajectory.</x:v>
      </x:c>
      <x:c r="R36" s="28" t="str">
        <x:v>rare disease delay; nonspecific symptoms; referral delay; no one connected the dots; chronic illness invalidation</x:v>
      </x:c>
      <x:c r="S36" s="28" t="str"/>
      <x:c r="T36" s="28" t="str"/>
      <x:c r="U36" s="28" t="str">
        <x:v>Rare neuromuscular disease was hidden inside common constitutional symptoms.</x:v>
      </x:c>
      <x:c r="V36" s="28" t="str">
        <x:v>Use progressive nonspecific-symptom timelines plus neuromuscular checklists before closing as routine fatigue/weight loss.</x:v>
      </x:c>
      <x:c r="W36" s="28" t="str">
        <x:v>medium</x:v>
      </x:c>
      <x:c r="X36" s="28" t="str">
        <x:v>Facts from case-catalog summary; product column is interpretation</x:v>
      </x:c>
      <x:c r="Y36" s="28" t="str">
        <x:v>Summary-level evidence; included for rare disease and elderly missed diagnosis coverage.</x:v>
      </x:c>
    </x:row>
  </x:sheetData>
  <x:mergeCells>
    <x:mergeCell ref="A1:Y1"/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7126508693e44a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48" hidden="0" customWidth="1"/>
    <x:col min="5" max="5" width="56" hidden="0" customWidth="1"/>
  </x:cols>
  <x:sheetData>
    <x:row r="1" ht="28" customHeight="1">
      <x:c r="A1" s="32" t="str">
        <x:v>Missed-signal taxonomy: repeated failure patterns</x:v>
      </x:c>
      <x:c r="B1" s="32"/>
      <x:c r="C1" s="32"/>
      <x:c r="D1" s="32"/>
      <x:c r="E1" s="32"/>
    </x:row>
    <x:row r="2" ht="32" customHeight="1">
      <x:c r="A2" s="12" t="str">
        <x:v>Counts are formula-driven from the Case Library tag column, so filtering or editing tags can update this synthesis.</x:v>
      </x:c>
      <x:c r="B2" s="12"/>
      <x:c r="C2" s="12"/>
      <x:c r="D2" s="12"/>
      <x:c r="E2" s="12"/>
    </x:row>
    <x:row r="3">
      <x:c r="A3" s="33"/>
      <x:c r="B3" s="33"/>
      <x:c r="C3" s="33"/>
      <x:c r="D3" s="33"/>
      <x:c r="E3" s="33"/>
    </x:row>
    <x:row r="4" ht="30" customHeight="1">
      <x:c r="A4" s="20" t="str">
        <x:v>Failure / black-zone tag</x:v>
      </x:c>
      <x:c r="B4" s="20" t="str">
        <x:v>Case count</x:v>
      </x:c>
      <x:c r="C4" s="20" t="str">
        <x:v>Example case IDs</x:v>
      </x:c>
      <x:c r="D4" s="20" t="str">
        <x:v>What it means in workflow</x:v>
      </x:c>
      <x:c r="E4" s="20" t="str">
        <x:v>Product-design implication</x:v>
      </x:c>
    </x:row>
    <x:row r="5">
      <x:c r="A5" s="28" t="str">
        <x:v>symptom dismissed</x:v>
      </x:c>
      <x:c r="B5" s="28" t="n">
        <x:f>LEN(C5)-LEN(SUBSTITUTE(C5,",",""))+1</x:f>
        <x:v>6</x:v>
      </x:c>
      <x:c r="C5" s="28" t="str">
        <x:v>B-002, B-006, B-019, B-020, B-023, B-024</x:v>
      </x:c>
      <x:c r="D5" s="28" t="str">
        <x:v>Patient's stated severity or persistence is treated as low-signal.</x:v>
      </x:c>
      <x:c r="E5" s="28" t="str">
        <x:v>Capture patient narrative verbatim, severity, duration, and change-from-baseline; surface when repeated.</x:v>
      </x:c>
    </x:row>
    <x:row r="6">
      <x:c r="A6" s="28" t="str">
        <x:v>mental-health misattribution</x:v>
      </x:c>
      <x:c r="B6" s="28" t="n">
        <x:f>LEN(C6)-LEN(SUBSTITUTE(C6,",",""))+1</x:f>
        <x:v>3</x:v>
      </x:c>
      <x:c r="C6" s="28" t="str">
        <x:v>B-003, B-021, B-023</x:v>
      </x:c>
      <x:c r="D6" s="28" t="str">
        <x:v>Physical illness is explained as anxiety/panic/stress before high-risk alternatives are ruled out.</x:v>
      </x:c>
      <x:c r="E6" s="28" t="str">
        <x:v>Add psychiatric-attribution guardrail requiring physical red-flag review and objective next step.</x:v>
      </x:c>
    </x:row>
    <x:row r="7">
      <x:c r="A7" s="28" t="str">
        <x:v>normal-test trap</x:v>
      </x:c>
      <x:c r="B7" s="28" t="n">
        <x:f>LEN(C7)-LEN(SUBSTITUTE(C7,",",""))+1</x:f>
        <x:v>7</x:v>
      </x:c>
      <x:c r="C7" s="28" t="str">
        <x:v>B-001, B-003, B-004, B-009, B-016, B-021, B-023</x:v>
      </x:c>
      <x:c r="D7" s="28" t="str">
        <x:v>A normal prior/current test is overgeneralized beyond its scope or timing.</x:v>
      </x:c>
      <x:c r="E7" s="28" t="str">
        <x:v>Show test limitations: date, body region, symptom status, sensitivity, and what it does not rule out.</x:v>
      </x:c>
    </x:row>
    <x:row r="8">
      <x:c r="A8" s="28" t="str">
        <x:v>abnormal result not followed up</x:v>
      </x:c>
      <x:c r="B8" s="28" t="n">
        <x:f>LEN(C8)-LEN(SUBSTITUTE(C8,",",""))+1</x:f>
        <x:v>9</x:v>
      </x:c>
      <x:c r="C8" s="28" t="str">
        <x:v>B-005, B-008, B-011, B-012, B-013, B-015, B-017, B-018, B-019</x:v>
      </x:c>
      <x:c r="D8" s="28" t="str">
        <x:v>Abnormal lab/imaging/result exists but does not become action.</x:v>
      </x:c>
      <x:c r="E8" s="28" t="str">
        <x:v>Closed-loop result ownership with acknowledgment, action, patient notification, and closure.</x:v>
      </x:c>
    </x:row>
    <x:row r="9">
      <x:c r="A9" s="28" t="str">
        <x:v>repeated visits ignored</x:v>
      </x:c>
      <x:c r="B9" s="28" t="n">
        <x:f>LEN(C9)-LEN(SUBSTITUTE(C9,",",""))+1</x:f>
        <x:v>7</x:v>
      </x:c>
      <x:c r="C9" s="28" t="str">
        <x:v>B-006, B-009, B-010, B-024, B-025, B-028, B-030</x:v>
      </x:c>
      <x:c r="D9" s="28" t="str">
        <x:v>Return visits are handled as new isolated encounters instead of escalation signals.</x:v>
      </x:c>
      <x:c r="E9" s="28" t="str">
        <x:v>Repeat-visit detector that displays recent encounters and forces diagnostic reset.</x:v>
      </x:c>
    </x:row>
    <x:row r="10">
      <x:c r="A10" s="28" t="str">
        <x:v>no one connected the dots</x:v>
      </x:c>
      <x:c r="B10" s="28" t="n">
        <x:f>LEN(C10)-LEN(SUBSTITUTE(C10,",",""))+1</x:f>
        <x:v>7</x:v>
      </x:c>
      <x:c r="C10" s="28" t="str">
        <x:v>B-001, B-002, B-009, B-014, B-024, B-028, B-032</x:v>
      </x:c>
      <x:c r="D10" s="28" t="str">
        <x:v>Signals distributed across time, specialties, or notes never assemble into a pattern.</x:v>
      </x:c>
      <x:c r="E10" s="28" t="str">
        <x:v>Longitudinal problem map that clusters symptoms, labs, visits, family history, and specialty notes.</x:v>
      </x:c>
    </x:row>
    <x:row r="11">
      <x:c r="A11" s="28" t="str">
        <x:v>poor handoff</x:v>
      </x:c>
      <x:c r="B11" s="28" t="n">
        <x:f>LEN(C11)-LEN(SUBSTITUTE(C11,",",""))+1</x:f>
        <x:v>6</x:v>
      </x:c>
      <x:c r="C11" s="28" t="str">
        <x:v>B-007, B-008, B-011, B-012, B-017, B-018</x:v>
      </x:c>
      <x:c r="D11" s="28" t="str">
        <x:v>Important data crosses team/shift/setting boundaries without reliable receipt/action.</x:v>
      </x:c>
      <x:c r="E11" s="28" t="str">
        <x:v>Handoff payloads with required critical fields and receiving-team acknowledgment.</x:v>
      </x:c>
    </x:row>
    <x:row r="12">
      <x:c r="A12" s="28" t="str">
        <x:v>no follow-up ownership</x:v>
      </x:c>
      <x:c r="B12" s="28" t="n">
        <x:f>LEN(C12)-LEN(SUBSTITUTE(C12,",",""))+1</x:f>
        <x:v>7</x:v>
      </x:c>
      <x:c r="C12" s="28" t="str">
        <x:v>B-005, B-011, B-012, B-017, B-018, B-025, B-027</x:v>
      </x:c>
      <x:c r="D12" s="28" t="str">
        <x:v>A necessary next step exists, but no named accountable person owns it.</x:v>
      </x:c>
      <x:c r="E12" s="28" t="str">
        <x:v>Assign owner/deadline/escalation for every pending test, referral, and critical result.</x:v>
      </x:c>
    </x:row>
    <x:row r="13">
      <x:c r="A13" s="28" t="str">
        <x:v>referral delay</x:v>
      </x:c>
      <x:c r="B13" s="28" t="n">
        <x:f>LEN(C13)-LEN(SUBSTITUTE(C13,",",""))+1</x:f>
        <x:v>7</x:v>
      </x:c>
      <x:c r="C13" s="28" t="str">
        <x:v>B-001, B-002, B-005, B-025, B-029, B-031, B-032</x:v>
      </x:c>
      <x:c r="D13" s="28" t="str">
        <x:v>Patient needs another expertise/pathway but referral is late, absent, or not completed.</x:v>
      </x:c>
      <x:c r="E13" s="28" t="str">
        <x:v>Referral tracker that verifies booking, attendance, result, and next-step communication.</x:v>
      </x:c>
    </x:row>
    <x:row r="14">
      <x:c r="A14" s="28" t="str">
        <x:v>red flag missed</x:v>
      </x:c>
      <x:c r="B14" s="28" t="n">
        <x:f>LEN(C14)-LEN(SUBSTITUTE(C14,",",""))+1</x:f>
        <x:v>9</x:v>
      </x:c>
      <x:c r="C14" s="28" t="str">
        <x:v>B-004, B-005, B-006, B-007, B-010, B-013, B-016, B-030, B-031</x:v>
      </x:c>
      <x:c r="D14" s="28" t="str">
        <x:v>Time-sensitive warning sign is present but not elevated.</x:v>
      </x:c>
      <x:c r="E14" s="28" t="str">
        <x:v>Red-flag rules tied to stage-specific workflows: triage, imaging, labs, discharge.</x:v>
      </x:c>
    </x:row>
    <x:row r="15">
      <x:c r="A15" s="28" t="str">
        <x:v>patient self-advocacy required</x:v>
      </x:c>
      <x:c r="B15" s="28" t="n">
        <x:f>LEN(C15)-LEN(SUBSTITUTE(C15,",",""))+1</x:f>
        <x:v>6</x:v>
      </x:c>
      <x:c r="C15" s="28" t="str">
        <x:v>B-002, B-003, B-020, B-021, B-023, B-024</x:v>
      </x:c>
      <x:c r="D15" s="28" t="str">
        <x:v>Diagnosis advances only after patient/family insists, researches, or returns repeatedly.</x:v>
      </x:c>
      <x:c r="E15" s="28" t="str">
        <x:v>Let patients submit structured concerns, photos, family history, and 'what I fear is being missed.'</x:v>
      </x:c>
    </x:row>
    <x:row r="16">
      <x:c r="A16" s="28" t="str">
        <x:v>low-resource diagnostic supply gap</x:v>
      </x:c>
      <x:c r="B16" s="28" t="n">
        <x:f>LEN(C16)-LEN(SUBSTITUTE(C16,",",""))+1</x:f>
        <x:v>3</x:v>
      </x:c>
      <x:c r="C16" s="28" t="str">
        <x:v>B-025, B-026, B-027</x:v>
      </x:c>
      <x:c r="D16" s="28" t="str">
        <x:v>The test/referral needed to identify disease is unavailable or unreliable.</x:v>
      </x:c>
      <x:c r="E16" s="28" t="str">
        <x:v>Stockout-aware clinical pathways, referral alternatives, and supply-chain alerting.</x:v>
      </x:c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  <x:row r="19">
      <x:c r="A19" s="33"/>
      <x:c r="B19" s="33"/>
      <x:c r="C19" s="33"/>
      <x:c r="D19" s="33"/>
      <x:c r="E19" s="33"/>
    </x:row>
    <x:row r="20">
      <x:c r="A20" s="33"/>
      <x:c r="B20" s="33"/>
      <x:c r="C20" s="33"/>
      <x:c r="D20" s="33"/>
      <x:c r="E20" s="33"/>
    </x:row>
    <x:row r="21">
      <x:c r="A21" s="33"/>
      <x:c r="B21" s="33"/>
      <x:c r="C21" s="33"/>
      <x:c r="D21" s="33"/>
      <x:c r="E21" s="33"/>
    </x:row>
    <x:row r="22">
      <x:c r="A22" s="33"/>
      <x:c r="B22" s="33"/>
      <x:c r="C22" s="33"/>
      <x:c r="D22" s="33"/>
      <x:c r="E22" s="33"/>
    </x:row>
    <x:row r="23">
      <x:c r="A23" s="33"/>
      <x:c r="B23" s="33"/>
      <x:c r="C23" s="33"/>
      <x:c r="D23" s="33"/>
      <x:c r="E23" s="33"/>
    </x:row>
    <x:row r="24">
      <x:c r="A24" s="33"/>
      <x:c r="B24" s="33"/>
      <x:c r="C24" s="33"/>
      <x:c r="D24" s="33"/>
      <x:c r="E24" s="33"/>
    </x:row>
    <x:row r="25">
      <x:c r="A25" s="33"/>
      <x:c r="B25" s="33"/>
      <x:c r="C25" s="33"/>
      <x:c r="D25" s="33"/>
      <x:c r="E25" s="33"/>
    </x:row>
    <x:row r="26">
      <x:c r="A26" s="33"/>
      <x:c r="B26" s="33"/>
      <x:c r="C26" s="33"/>
      <x:c r="D26" s="33"/>
      <x:c r="E26" s="33"/>
    </x:row>
    <x:row r="27">
      <x:c r="A27" s="33"/>
      <x:c r="B27" s="33"/>
      <x:c r="C27" s="33"/>
      <x:c r="D27" s="33"/>
      <x:c r="E27" s="33"/>
    </x:row>
    <x:row r="28">
      <x:c r="A28" s="33"/>
      <x:c r="B28" s="33"/>
      <x:c r="C28" s="33"/>
      <x:c r="D28" s="33"/>
      <x:c r="E28" s="33"/>
    </x:row>
    <x:row r="29">
      <x:c r="A29" s="33"/>
      <x:c r="B29" s="33"/>
      <x:c r="C29" s="33"/>
      <x:c r="D29" s="33"/>
      <x:c r="E29" s="33"/>
    </x:row>
    <x:row r="30">
      <x:c r="A30" s="33"/>
      <x:c r="B30" s="33"/>
      <x:c r="C30" s="33"/>
      <x:c r="D30" s="33"/>
      <x:c r="E30" s="33"/>
    </x:row>
    <x:row r="31">
      <x:c r="A31" s="33"/>
      <x:c r="B31" s="33"/>
      <x:c r="C31" s="33"/>
      <x:c r="D31" s="33"/>
      <x:c r="E31" s="33"/>
    </x:row>
    <x:row r="32">
      <x:c r="A32" s="33"/>
      <x:c r="B32" s="33"/>
      <x:c r="C32" s="33"/>
      <x:c r="D32" s="33"/>
      <x:c r="E32" s="33"/>
    </x:row>
    <x:row r="33">
      <x:c r="A33" s="33"/>
      <x:c r="B33" s="33"/>
      <x:c r="C33" s="33"/>
      <x:c r="D33" s="33"/>
      <x:c r="E33" s="33"/>
    </x:row>
    <x:row r="34">
      <x:c r="A34" s="33"/>
      <x:c r="B34" s="33"/>
      <x:c r="C34" s="33"/>
      <x:c r="D34" s="33"/>
      <x:c r="E34" s="33"/>
    </x:row>
    <x:row r="35">
      <x:c r="A35" s="33"/>
      <x:c r="B35" s="33"/>
      <x:c r="C35" s="33"/>
      <x:c r="D35" s="33"/>
      <x:c r="E35" s="33"/>
    </x:row>
    <x:row r="36">
      <x:c r="A36" s="33"/>
      <x:c r="B36" s="33"/>
      <x:c r="C36" s="33"/>
      <x:c r="D36" s="33"/>
      <x:c r="E36" s="33"/>
    </x:row>
    <x:row r="37">
      <x:c r="A37" s="33"/>
      <x:c r="B37" s="33"/>
      <x:c r="C37" s="33"/>
      <x:c r="D37" s="33"/>
      <x:c r="E37" s="33"/>
    </x:row>
    <x:row r="38">
      <x:c r="A38" s="33"/>
      <x:c r="B38" s="33"/>
      <x:c r="C38" s="33"/>
      <x:c r="D38" s="33"/>
      <x:c r="E38" s="33"/>
    </x:row>
    <x:row r="39">
      <x:c r="A39" s="33"/>
      <x:c r="B39" s="33"/>
      <x:c r="C39" s="33"/>
      <x:c r="D39" s="33"/>
      <x:c r="E39" s="33"/>
    </x:row>
    <x:row r="40">
      <x:c r="A40" s="33"/>
      <x:c r="B40" s="33"/>
      <x:c r="C40" s="33"/>
      <x:c r="D40" s="33"/>
      <x:c r="E40" s="33"/>
    </x:row>
    <x:row r="41">
      <x:c r="A41" s="33"/>
      <x:c r="B41" s="33"/>
      <x:c r="C41" s="33"/>
      <x:c r="D41" s="33"/>
      <x:c r="E41" s="33"/>
    </x:row>
    <x:row r="42">
      <x:c r="A42" s="33"/>
      <x:c r="B42" s="33"/>
      <x:c r="C42" s="33"/>
      <x:c r="D42" s="33"/>
      <x:c r="E42" s="33"/>
    </x:row>
    <x:row r="43">
      <x:c r="A43" s="33"/>
      <x:c r="B43" s="33"/>
      <x:c r="C43" s="33"/>
      <x:c r="D43" s="33"/>
      <x:c r="E43" s="33"/>
    </x:row>
    <x:row r="44">
      <x:c r="A44" s="33"/>
      <x:c r="B44" s="33"/>
      <x:c r="C44" s="33"/>
      <x:c r="D44" s="33"/>
      <x:c r="E44" s="33"/>
    </x:row>
    <x:row r="45">
      <x:c r="A45" s="33"/>
      <x:c r="B45" s="33"/>
      <x:c r="C45" s="33"/>
      <x:c r="D45" s="33"/>
      <x:c r="E45" s="33"/>
    </x:row>
    <x:row r="46">
      <x:c r="A46" s="33"/>
      <x:c r="B46" s="33"/>
      <x:c r="C46" s="33"/>
      <x:c r="D46" s="33"/>
      <x:c r="E46" s="33"/>
    </x:row>
    <x:row r="47">
      <x:c r="A47" s="33"/>
      <x:c r="B47" s="33"/>
      <x:c r="C47" s="33"/>
      <x:c r="D47" s="33"/>
      <x:c r="E47" s="33"/>
    </x:row>
    <x:row r="48">
      <x:c r="A48" s="33"/>
      <x:c r="B48" s="33"/>
      <x:c r="C48" s="33"/>
      <x:c r="D48" s="33"/>
      <x:c r="E48" s="33"/>
    </x:row>
    <x:row r="49">
      <x:c r="A49" s="33"/>
      <x:c r="B49" s="33"/>
      <x:c r="C49" s="33"/>
      <x:c r="D49" s="33"/>
      <x:c r="E49" s="33"/>
    </x:row>
    <x:row r="50">
      <x:c r="A50" s="33"/>
      <x:c r="B50" s="33"/>
      <x:c r="C50" s="33"/>
      <x:c r="D50" s="33"/>
      <x:c r="E50" s="33"/>
    </x:row>
    <x:row r="51">
      <x:c r="A51" s="33"/>
      <x:c r="B51" s="33"/>
      <x:c r="C51" s="33"/>
      <x:c r="D51" s="33"/>
      <x:c r="E51" s="33"/>
    </x:row>
    <x:row r="52">
      <x:c r="A52" s="33"/>
      <x:c r="B52" s="33"/>
      <x:c r="C52" s="33"/>
      <x:c r="D52" s="33"/>
      <x:c r="E52" s="33"/>
    </x:row>
    <x:row r="53">
      <x:c r="A53" s="33"/>
      <x:c r="B53" s="33"/>
      <x:c r="C53" s="33"/>
      <x:c r="D53" s="33"/>
      <x:c r="E53" s="33"/>
    </x:row>
    <x:row r="54">
      <x:c r="A54" s="33"/>
      <x:c r="B54" s="33"/>
      <x:c r="C54" s="33"/>
      <x:c r="D54" s="33"/>
      <x:c r="E54" s="33"/>
    </x:row>
    <x:row r="55">
      <x:c r="A55" s="33"/>
      <x:c r="B55" s="33"/>
      <x:c r="C55" s="33"/>
      <x:c r="D55" s="33"/>
      <x:c r="E55" s="33"/>
    </x:row>
    <x:row r="56">
      <x:c r="A56" s="33"/>
      <x:c r="B56" s="33"/>
      <x:c r="C56" s="33"/>
      <x:c r="D56" s="33"/>
      <x:c r="E56" s="33"/>
    </x:row>
    <x:row r="57">
      <x:c r="A57" s="33"/>
      <x:c r="B57" s="33"/>
      <x:c r="C57" s="33"/>
      <x:c r="D57" s="33"/>
      <x:c r="E57" s="33"/>
    </x:row>
    <x:row r="58">
      <x:c r="A58" s="33"/>
      <x:c r="B58" s="33"/>
      <x:c r="C58" s="33"/>
      <x:c r="D58" s="33"/>
      <x:c r="E58" s="33"/>
    </x:row>
    <x:row r="59">
      <x:c r="A59" s="33"/>
      <x:c r="B59" s="33"/>
      <x:c r="C59" s="33"/>
      <x:c r="D59" s="33"/>
      <x:c r="E59" s="33"/>
    </x:row>
    <x:row r="60">
      <x:c r="A60" s="33"/>
      <x:c r="B60" s="33"/>
      <x:c r="C60" s="33"/>
      <x:c r="D60" s="33"/>
      <x:c r="E60" s="33"/>
    </x:row>
    <x:row r="61">
      <x:c r="A61" s="33"/>
      <x:c r="B61" s="33"/>
      <x:c r="C61" s="33"/>
      <x:c r="D61" s="33"/>
      <x:c r="E61" s="33"/>
    </x:row>
    <x:row r="62">
      <x:c r="A62" s="33"/>
      <x:c r="B62" s="33"/>
      <x:c r="C62" s="33"/>
      <x:c r="D62" s="33"/>
      <x:c r="E62" s="33"/>
    </x:row>
    <x:row r="63">
      <x:c r="A63" s="33"/>
      <x:c r="B63" s="33"/>
      <x:c r="C63" s="33"/>
      <x:c r="D63" s="33"/>
      <x:c r="E63" s="33"/>
    </x:row>
    <x:row r="64">
      <x:c r="A64" s="33"/>
      <x:c r="B64" s="33"/>
      <x:c r="C64" s="33"/>
      <x:c r="D64" s="33"/>
      <x:c r="E64" s="33"/>
    </x:row>
    <x:row r="65">
      <x:c r="A65" s="33"/>
      <x:c r="B65" s="33"/>
      <x:c r="C65" s="33"/>
      <x:c r="D65" s="33"/>
      <x:c r="E65" s="33"/>
    </x:row>
    <x:row r="66">
      <x:c r="A66" s="33"/>
      <x:c r="B66" s="33"/>
      <x:c r="C66" s="33"/>
      <x:c r="D66" s="33"/>
      <x:c r="E66" s="33"/>
    </x:row>
    <x:row r="67">
      <x:c r="A67" s="33"/>
      <x:c r="B67" s="33"/>
      <x:c r="C67" s="33"/>
      <x:c r="D67" s="33"/>
      <x:c r="E67" s="33"/>
    </x:row>
    <x:row r="68">
      <x:c r="A68" s="33"/>
      <x:c r="B68" s="33"/>
      <x:c r="C68" s="33"/>
      <x:c r="D68" s="33"/>
      <x:c r="E68" s="33"/>
    </x:row>
    <x:row r="69">
      <x:c r="A69" s="33"/>
      <x:c r="B69" s="33"/>
      <x:c r="C69" s="33"/>
      <x:c r="D69" s="33"/>
      <x:c r="E69" s="33"/>
    </x:row>
    <x:row r="70">
      <x:c r="A70" s="33"/>
      <x:c r="B70" s="33"/>
      <x:c r="C70" s="33"/>
      <x:c r="D70" s="33"/>
      <x:c r="E70" s="33"/>
    </x:row>
    <x:row r="71">
      <x:c r="A71" s="33"/>
      <x:c r="B71" s="33"/>
      <x:c r="C71" s="33"/>
      <x:c r="D71" s="33"/>
      <x:c r="E71" s="33"/>
    </x:row>
    <x:row r="72">
      <x:c r="A72" s="33"/>
      <x:c r="B72" s="33"/>
      <x:c r="C72" s="33"/>
      <x:c r="D72" s="33"/>
      <x:c r="E72" s="33"/>
    </x:row>
    <x:row r="73">
      <x:c r="A73" s="33"/>
      <x:c r="B73" s="33"/>
      <x:c r="C73" s="33"/>
      <x:c r="D73" s="33"/>
      <x:c r="E73" s="33"/>
    </x:row>
    <x:row r="74">
      <x:c r="A74" s="33"/>
      <x:c r="B74" s="33"/>
      <x:c r="C74" s="33"/>
      <x:c r="D74" s="33"/>
      <x:c r="E74" s="33"/>
    </x:row>
    <x:row r="75">
      <x:c r="A75" s="33"/>
      <x:c r="B75" s="33"/>
      <x:c r="C75" s="33"/>
      <x:c r="D75" s="33"/>
      <x:c r="E75" s="33"/>
    </x:row>
    <x:row r="76">
      <x:c r="A76" s="33"/>
      <x:c r="B76" s="33"/>
      <x:c r="C76" s="33"/>
      <x:c r="D76" s="33"/>
      <x:c r="E76" s="33"/>
    </x:row>
    <x:row r="77">
      <x:c r="A77" s="33"/>
      <x:c r="B77" s="33"/>
      <x:c r="C77" s="33"/>
      <x:c r="D77" s="33"/>
      <x:c r="E77" s="33"/>
    </x:row>
    <x:row r="78">
      <x:c r="A78" s="33"/>
      <x:c r="B78" s="33"/>
      <x:c r="C78" s="33"/>
      <x:c r="D78" s="33"/>
      <x:c r="E78" s="33"/>
    </x:row>
    <x:row r="79">
      <x:c r="A79" s="33"/>
      <x:c r="B79" s="33"/>
      <x:c r="C79" s="33"/>
      <x:c r="D79" s="33"/>
      <x:c r="E79" s="33"/>
    </x:row>
    <x:row r="80">
      <x:c r="A80" s="33"/>
      <x:c r="B80" s="33"/>
      <x:c r="C80" s="33"/>
      <x:c r="D80" s="33"/>
      <x:c r="E80" s="3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27ac9e2b4274b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2" hidden="0" customWidth="1"/>
    <x:col min="4" max="4" width="46" hidden="0" customWidth="1"/>
    <x:col min="5" max="5" width="28" hidden="0" customWidth="1"/>
  </x:cols>
  <x:sheetData>
    <x:row r="1" ht="28" customHeight="1">
      <x:c r="A1" s="32" t="str">
        <x:v>Missed-signal taxonomy</x:v>
      </x:c>
      <x:c r="B1" s="32"/>
      <x:c r="C1" s="32"/>
      <x:c r="D1" s="32"/>
      <x:c r="E1" s="32"/>
    </x:row>
    <x:row r="2" ht="32" customHeight="1">
      <x:c r="A2" s="12" t="str">
        <x:v>Reusable tags and definitions extracted from the case library.</x:v>
      </x:c>
      <x:c r="B2" s="12"/>
      <x:c r="C2" s="12"/>
      <x:c r="D2" s="12"/>
      <x:c r="E2" s="12"/>
    </x:row>
    <x:row r="3">
      <x:c r="A3" s="33"/>
      <x:c r="B3" s="33"/>
      <x:c r="C3" s="33"/>
      <x:c r="D3" s="33"/>
      <x:c r="E3" s="33"/>
    </x:row>
    <x:row r="4" ht="30" customHeight="1">
      <x:c r="A4" s="20" t="str">
        <x:v>Taxonomy group</x:v>
      </x:c>
      <x:c r="B4" s="20" t="str">
        <x:v>Tag</x:v>
      </x:c>
      <x:c r="C4" s="20" t="str">
        <x:v>Definition</x:v>
      </x:c>
      <x:c r="D4" s="20" t="str">
        <x:v>Common signal</x:v>
      </x:c>
      <x:c r="E4" s="20" t="str">
        <x:v>Example case IDs</x:v>
      </x:c>
    </x:row>
    <x:row r="5">
      <x:c r="A5" s="28" t="str">
        <x:v>Cognitive closure</x:v>
      </x:c>
      <x:c r="B5" s="28" t="str">
        <x:v>anchoring / premature closure</x:v>
      </x:c>
      <x:c r="C5" s="28" t="str">
        <x:v>A plausible first label stops diagnostic search.</x:v>
      </x:c>
      <x:c r="D5" s="28" t="str">
        <x:v>Asthma, COVID, anxiety, gastroenteritis, seizure history</x:v>
      </x:c>
      <x:c r="E5" s="28" t="str">
        <x:v>B-003, B-008, B-010, B-016, B-028</x:v>
      </x:c>
    </x:row>
    <x:row r="6">
      <x:c r="A6" s="28" t="str">
        <x:v>Cognitive closure</x:v>
      </x:c>
      <x:c r="B6" s="28" t="str">
        <x:v>normal-test trap</x:v>
      </x:c>
      <x:c r="C6" s="28" t="str">
        <x:v>Normal old/wrong-scope/asymptomatic test falsely reassures.</x:v>
      </x:c>
      <x:c r="D6" s="28" t="str">
        <x:v>Prior normal colonoscopy; normal resting ECG; limited MRI; noncontrast CT</x:v>
      </x:c>
      <x:c r="E6" s="28" t="str">
        <x:v>B-001, B-003, B-004, B-016</x:v>
      </x:c>
    </x:row>
    <x:row r="7">
      <x:c r="A7" s="28" t="str">
        <x:v>Signal fragmentation</x:v>
      </x:c>
      <x:c r="B7" s="28" t="str">
        <x:v>no one connected the dots</x:v>
      </x:c>
      <x:c r="C7" s="28" t="str">
        <x:v>Symptoms/labs/visits across time and specialties remain separate.</x:v>
      </x:c>
      <x:c r="D7" s="28" t="str">
        <x:v>Weight loss + abdominal pain; anemia trend; recurrent admissions</x:v>
      </x:c>
      <x:c r="E7" s="28" t="str">
        <x:v>B-001, B-009, B-014, B-024</x:v>
      </x:c>
    </x:row>
    <x:row r="8">
      <x:c r="A8" s="28" t="str">
        <x:v>Signal fragmentation</x:v>
      </x:c>
      <x:c r="B8" s="28" t="str">
        <x:v>wrong specialty / silo</x:v>
      </x:c>
      <x:c r="C8" s="28" t="str">
        <x:v>Patient is routed to specialty that sees only one symptom domain.</x:v>
      </x:c>
      <x:c r="D8" s="28" t="str">
        <x:v>GI vs gynecology; psychiatry vs cardiology; eating-disorder clinic vs GI</x:v>
      </x:c>
      <x:c r="E8" s="28" t="str">
        <x:v>B-002, B-003, B-024</x:v>
      </x:c>
    </x:row>
    <x:row r="9">
      <x:c r="A9" s="28" t="str">
        <x:v>Result-management failure</x:v>
      </x:c>
      <x:c r="B9" s="28" t="str">
        <x:v>abnormal result not followed up</x:v>
      </x:c>
      <x:c r="C9" s="28" t="str">
        <x:v>A finalized abnormal test/result does not trigger patient care action.</x:v>
      </x:c>
      <x:c r="D9" s="28" t="str">
        <x:v>CRP, blood culture, thyroid test, AChR antibody, echo vegetation, radiology report</x:v>
      </x:c>
      <x:c r="E9" s="28" t="str">
        <x:v>B-011, B-012, B-013, B-015, B-017, B-018</x:v>
      </x:c>
    </x:row>
    <x:row r="10">
      <x:c r="A10" s="28" t="str">
        <x:v>Transition failure</x:v>
      </x:c>
      <x:c r="B10" s="28" t="str">
        <x:v>poor handoff</x:v>
      </x:c>
      <x:c r="C10" s="28" t="str">
        <x:v>Critical information fails at EMS/ED, discharge, coverage, or team transition.</x:v>
      </x:c>
      <x:c r="D10" s="28" t="str">
        <x:v>EMS ECG, radiology phone call, discharge pending result, out-of-office coverage</x:v>
      </x:c>
      <x:c r="E10" s="28" t="str">
        <x:v>B-007, B-008, B-011, B-017</x:v>
      </x:c>
    </x:row>
    <x:row r="11">
      <x:c r="A11" s="28" t="str">
        <x:v>Patient voice failure</x:v>
      </x:c>
      <x:c r="B11" s="28" t="str">
        <x:v>doctor did not listen / symptom dismissed</x:v>
      </x:c>
      <x:c r="C11" s="28" t="str">
        <x:v>Patient-reported severity, persistence, or intuition is discounted.</x:v>
      </x:c>
      <x:c r="D11" s="28" t="str">
        <x:v>Severe pain, persistent long-COVID symptoms, severe ME/CFS nutrition risk</x:v>
      </x:c>
      <x:c r="E11" s="28" t="str">
        <x:v>B-002, B-019, B-020, B-022</x:v>
      </x:c>
    </x:row>
    <x:row r="12">
      <x:c r="A12" s="28" t="str">
        <x:v>Bias/misattribution</x:v>
      </x:c>
      <x:c r="B12" s="28" t="str">
        <x:v>mental-health misattribution</x:v>
      </x:c>
      <x:c r="C12" s="28" t="str">
        <x:v>Symptoms attributed to anxiety/stress before physical conditions are addressed.</x:v>
      </x:c>
      <x:c r="D12" s="28" t="str">
        <x:v>Palpitations, dysautonomia symptoms, lupus symptoms</x:v>
      </x:c>
      <x:c r="E12" s="28" t="str">
        <x:v>B-003, B-021, B-023</x:v>
      </x:c>
    </x:row>
    <x:row r="13">
      <x:c r="A13" s="28" t="str">
        <x:v>Equity/resource failure</x:v>
      </x:c>
      <x:c r="B13" s="28" t="str">
        <x:v>access barrier</x:v>
      </x:c>
      <x:c r="C13" s="28" t="str">
        <x:v>Insurance, distance, payment, or plural care pathway interrupts diagnosis.</x:v>
      </x:c>
      <x:c r="D13" s="28" t="str">
        <x:v>No primary care/insurance; Ghana pathway; Kenya care-seeking</x:v>
      </x:c>
      <x:c r="E13" s="28" t="str">
        <x:v>B-025, B-026, B-031</x:v>
      </x:c>
    </x:row>
    <x:row r="14">
      <x:c r="A14" s="28" t="str">
        <x:v>Equity/resource failure</x:v>
      </x:c>
      <x:c r="B14" s="28" t="str">
        <x:v>low-resource diagnostic supply gap</x:v>
      </x:c>
      <x:c r="C14" s="28" t="str">
        <x:v>Clinic lacks test supplies/equipment needed to confirm disease.</x:v>
      </x:c>
      <x:c r="D14" s="28" t="str">
        <x:v>RDT stock-out; no microscopy</x:v>
      </x:c>
      <x:c r="E14" s="28" t="str">
        <x:v>B-026, B-027</x:v>
      </x:c>
    </x:row>
    <x:row r="15">
      <x:c r="A15" s="28" t="str">
        <x:v>Repeat-visit failure</x:v>
      </x:c>
      <x:c r="B15" s="28" t="str">
        <x:v>repeated visits ignored</x:v>
      </x:c>
      <x:c r="C15" s="28" t="str">
        <x:v>Return visits do not trigger escalation or diagnostic reset.</x:v>
      </x:c>
      <x:c r="D15" s="28" t="str">
        <x:v>Sepsis, appendicitis, mesenteric ischemia, torsion</x:v>
      </x:c>
      <x:c r="E15" s="28" t="str">
        <x:v>B-006, B-009, B-010, B-030</x:v>
      </x:c>
    </x:row>
    <x:row r="16">
      <x:c r="A16" s="28" t="str">
        <x:v>Rare/complex disease</x:v>
      </x:c>
      <x:c r="B16" s="28" t="str">
        <x:v>rare disease delay</x:v>
      </x:c>
      <x:c r="C16" s="28" t="str">
        <x:v>Unfamiliar conditions hide under common symptoms.</x:v>
      </x:c>
      <x:c r="D16" s="28" t="str">
        <x:v>LAM pneumothorax, MG fatigue, POTS, endometriosis</x:v>
      </x:c>
      <x:c r="E16" s="28" t="str">
        <x:v>B-002, B-021, B-029, B-032</x:v>
      </x:c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  <x:row r="19">
      <x:c r="A19" s="33"/>
      <x:c r="B19" s="33"/>
      <x:c r="C19" s="33"/>
      <x:c r="D19" s="33"/>
      <x:c r="E19" s="33"/>
    </x:row>
    <x:row r="20">
      <x:c r="A20" s="33"/>
      <x:c r="B20" s="33"/>
      <x:c r="C20" s="33"/>
      <x:c r="D20" s="33"/>
      <x:c r="E20" s="33"/>
    </x:row>
    <x:row r="21">
      <x:c r="A21" s="33"/>
      <x:c r="B21" s="33"/>
      <x:c r="C21" s="33"/>
      <x:c r="D21" s="33"/>
      <x:c r="E21" s="33"/>
    </x:row>
    <x:row r="22">
      <x:c r="A22" s="33"/>
      <x:c r="B22" s="33"/>
      <x:c r="C22" s="33"/>
      <x:c r="D22" s="33"/>
      <x:c r="E22" s="33"/>
    </x:row>
    <x:row r="23">
      <x:c r="A23" s="33"/>
      <x:c r="B23" s="33"/>
      <x:c r="C23" s="33"/>
      <x:c r="D23" s="33"/>
      <x:c r="E23" s="33"/>
    </x:row>
    <x:row r="24">
      <x:c r="A24" s="33"/>
      <x:c r="B24" s="33"/>
      <x:c r="C24" s="33"/>
      <x:c r="D24" s="33"/>
      <x:c r="E24" s="33"/>
    </x:row>
    <x:row r="25">
      <x:c r="A25" s="33"/>
      <x:c r="B25" s="33"/>
      <x:c r="C25" s="33"/>
      <x:c r="D25" s="33"/>
      <x:c r="E25" s="33"/>
    </x:row>
    <x:row r="26">
      <x:c r="A26" s="33"/>
      <x:c r="B26" s="33"/>
      <x:c r="C26" s="33"/>
      <x:c r="D26" s="33"/>
      <x:c r="E26" s="33"/>
    </x:row>
    <x:row r="27">
      <x:c r="A27" s="33"/>
      <x:c r="B27" s="33"/>
      <x:c r="C27" s="33"/>
      <x:c r="D27" s="33"/>
      <x:c r="E27" s="33"/>
    </x:row>
    <x:row r="28">
      <x:c r="A28" s="33"/>
      <x:c r="B28" s="33"/>
      <x:c r="C28" s="33"/>
      <x:c r="D28" s="33"/>
      <x:c r="E28" s="33"/>
    </x:row>
    <x:row r="29">
      <x:c r="A29" s="33"/>
      <x:c r="B29" s="33"/>
      <x:c r="C29" s="33"/>
      <x:c r="D29" s="33"/>
      <x:c r="E29" s="33"/>
    </x:row>
    <x:row r="30">
      <x:c r="A30" s="33"/>
      <x:c r="B30" s="33"/>
      <x:c r="C30" s="33"/>
      <x:c r="D30" s="33"/>
      <x:c r="E30" s="33"/>
    </x:row>
    <x:row r="31">
      <x:c r="A31" s="33"/>
      <x:c r="B31" s="33"/>
      <x:c r="C31" s="33"/>
      <x:c r="D31" s="33"/>
      <x:c r="E31" s="33"/>
    </x:row>
    <x:row r="32">
      <x:c r="A32" s="33"/>
      <x:c r="B32" s="33"/>
      <x:c r="C32" s="33"/>
      <x:c r="D32" s="33"/>
      <x:c r="E32" s="33"/>
    </x:row>
    <x:row r="33">
      <x:c r="A33" s="33"/>
      <x:c r="B33" s="33"/>
      <x:c r="C33" s="33"/>
      <x:c r="D33" s="33"/>
      <x:c r="E33" s="33"/>
    </x:row>
    <x:row r="34">
      <x:c r="A34" s="33"/>
      <x:c r="B34" s="33"/>
      <x:c r="C34" s="33"/>
      <x:c r="D34" s="33"/>
      <x:c r="E34" s="33"/>
    </x:row>
    <x:row r="35">
      <x:c r="A35" s="33"/>
      <x:c r="B35" s="33"/>
      <x:c r="C35" s="33"/>
      <x:c r="D35" s="33"/>
      <x:c r="E35" s="33"/>
    </x:row>
    <x:row r="36">
      <x:c r="A36" s="33"/>
      <x:c r="B36" s="33"/>
      <x:c r="C36" s="33"/>
      <x:c r="D36" s="33"/>
      <x:c r="E36" s="33"/>
    </x:row>
    <x:row r="37">
      <x:c r="A37" s="33"/>
      <x:c r="B37" s="33"/>
      <x:c r="C37" s="33"/>
      <x:c r="D37" s="33"/>
      <x:c r="E37" s="33"/>
    </x:row>
    <x:row r="38">
      <x:c r="A38" s="33"/>
      <x:c r="B38" s="33"/>
      <x:c r="C38" s="33"/>
      <x:c r="D38" s="33"/>
      <x:c r="E38" s="33"/>
    </x:row>
    <x:row r="39">
      <x:c r="A39" s="33"/>
      <x:c r="B39" s="33"/>
      <x:c r="C39" s="33"/>
      <x:c r="D39" s="33"/>
      <x:c r="E39" s="33"/>
    </x:row>
    <x:row r="40">
      <x:c r="A40" s="33"/>
      <x:c r="B40" s="33"/>
      <x:c r="C40" s="33"/>
      <x:c r="D40" s="33"/>
      <x:c r="E40" s="33"/>
    </x:row>
    <x:row r="41">
      <x:c r="A41" s="33"/>
      <x:c r="B41" s="33"/>
      <x:c r="C41" s="33"/>
      <x:c r="D41" s="33"/>
      <x:c r="E41" s="33"/>
    </x:row>
    <x:row r="42">
      <x:c r="A42" s="33"/>
      <x:c r="B42" s="33"/>
      <x:c r="C42" s="33"/>
      <x:c r="D42" s="33"/>
      <x:c r="E42" s="33"/>
    </x:row>
    <x:row r="43">
      <x:c r="A43" s="33"/>
      <x:c r="B43" s="33"/>
      <x:c r="C43" s="33"/>
      <x:c r="D43" s="33"/>
      <x:c r="E43" s="33"/>
    </x:row>
    <x:row r="44">
      <x:c r="A44" s="33"/>
      <x:c r="B44" s="33"/>
      <x:c r="C44" s="33"/>
      <x:c r="D44" s="33"/>
      <x:c r="E44" s="33"/>
    </x:row>
    <x:row r="45">
      <x:c r="A45" s="33"/>
      <x:c r="B45" s="33"/>
      <x:c r="C45" s="33"/>
      <x:c r="D45" s="33"/>
      <x:c r="E45" s="33"/>
    </x:row>
    <x:row r="46">
      <x:c r="A46" s="33"/>
      <x:c r="B46" s="33"/>
      <x:c r="C46" s="33"/>
      <x:c r="D46" s="33"/>
      <x:c r="E46" s="33"/>
    </x:row>
    <x:row r="47">
      <x:c r="A47" s="33"/>
      <x:c r="B47" s="33"/>
      <x:c r="C47" s="33"/>
      <x:c r="D47" s="33"/>
      <x:c r="E47" s="33"/>
    </x:row>
    <x:row r="48">
      <x:c r="A48" s="33"/>
      <x:c r="B48" s="33"/>
      <x:c r="C48" s="33"/>
      <x:c r="D48" s="33"/>
      <x:c r="E48" s="33"/>
    </x:row>
    <x:row r="49">
      <x:c r="A49" s="33"/>
      <x:c r="B49" s="33"/>
      <x:c r="C49" s="33"/>
      <x:c r="D49" s="33"/>
      <x:c r="E49" s="33"/>
    </x:row>
    <x:row r="50">
      <x:c r="A50" s="33"/>
      <x:c r="B50" s="33"/>
      <x:c r="C50" s="33"/>
      <x:c r="D50" s="33"/>
      <x:c r="E50" s="33"/>
    </x:row>
    <x:row r="51">
      <x:c r="A51" s="33"/>
      <x:c r="B51" s="33"/>
      <x:c r="C51" s="33"/>
      <x:c r="D51" s="33"/>
      <x:c r="E51" s="33"/>
    </x:row>
    <x:row r="52">
      <x:c r="A52" s="33"/>
      <x:c r="B52" s="33"/>
      <x:c r="C52" s="33"/>
      <x:c r="D52" s="33"/>
      <x:c r="E52" s="33"/>
    </x:row>
    <x:row r="53">
      <x:c r="A53" s="33"/>
      <x:c r="B53" s="33"/>
      <x:c r="C53" s="33"/>
      <x:c r="D53" s="33"/>
      <x:c r="E53" s="33"/>
    </x:row>
    <x:row r="54">
      <x:c r="A54" s="33"/>
      <x:c r="B54" s="33"/>
      <x:c r="C54" s="33"/>
      <x:c r="D54" s="33"/>
      <x:c r="E54" s="33"/>
    </x:row>
    <x:row r="55">
      <x:c r="A55" s="33"/>
      <x:c r="B55" s="33"/>
      <x:c r="C55" s="33"/>
      <x:c r="D55" s="33"/>
      <x:c r="E55" s="33"/>
    </x:row>
    <x:row r="56">
      <x:c r="A56" s="33"/>
      <x:c r="B56" s="33"/>
      <x:c r="C56" s="33"/>
      <x:c r="D56" s="33"/>
      <x:c r="E56" s="33"/>
    </x:row>
    <x:row r="57">
      <x:c r="A57" s="33"/>
      <x:c r="B57" s="33"/>
      <x:c r="C57" s="33"/>
      <x:c r="D57" s="33"/>
      <x:c r="E57" s="33"/>
    </x:row>
    <x:row r="58">
      <x:c r="A58" s="33"/>
      <x:c r="B58" s="33"/>
      <x:c r="C58" s="33"/>
      <x:c r="D58" s="33"/>
      <x:c r="E58" s="33"/>
    </x:row>
    <x:row r="59">
      <x:c r="A59" s="33"/>
      <x:c r="B59" s="33"/>
      <x:c r="C59" s="33"/>
      <x:c r="D59" s="33"/>
      <x:c r="E59" s="33"/>
    </x:row>
    <x:row r="60">
      <x:c r="A60" s="33"/>
      <x:c r="B60" s="33"/>
      <x:c r="C60" s="33"/>
      <x:c r="D60" s="33"/>
      <x:c r="E60" s="33"/>
    </x:row>
    <x:row r="61">
      <x:c r="A61" s="33"/>
      <x:c r="B61" s="33"/>
      <x:c r="C61" s="33"/>
      <x:c r="D61" s="33"/>
      <x:c r="E61" s="33"/>
    </x:row>
    <x:row r="62">
      <x:c r="A62" s="33"/>
      <x:c r="B62" s="33"/>
      <x:c r="C62" s="33"/>
      <x:c r="D62" s="33"/>
      <x:c r="E62" s="33"/>
    </x:row>
    <x:row r="63">
      <x:c r="A63" s="33"/>
      <x:c r="B63" s="33"/>
      <x:c r="C63" s="33"/>
      <x:c r="D63" s="33"/>
      <x:c r="E63" s="33"/>
    </x:row>
    <x:row r="64">
      <x:c r="A64" s="33"/>
      <x:c r="B64" s="33"/>
      <x:c r="C64" s="33"/>
      <x:c r="D64" s="33"/>
      <x:c r="E64" s="33"/>
    </x:row>
    <x:row r="65">
      <x:c r="A65" s="33"/>
      <x:c r="B65" s="33"/>
      <x:c r="C65" s="33"/>
      <x:c r="D65" s="33"/>
      <x:c r="E65" s="33"/>
    </x:row>
    <x:row r="66">
      <x:c r="A66" s="33"/>
      <x:c r="B66" s="33"/>
      <x:c r="C66" s="33"/>
      <x:c r="D66" s="33"/>
      <x:c r="E66" s="33"/>
    </x:row>
    <x:row r="67">
      <x:c r="A67" s="33"/>
      <x:c r="B67" s="33"/>
      <x:c r="C67" s="33"/>
      <x:c r="D67" s="33"/>
      <x:c r="E67" s="33"/>
    </x:row>
    <x:row r="68">
      <x:c r="A68" s="33"/>
      <x:c r="B68" s="33"/>
      <x:c r="C68" s="33"/>
      <x:c r="D68" s="33"/>
      <x:c r="E68" s="33"/>
    </x:row>
    <x:row r="69">
      <x:c r="A69" s="33"/>
      <x:c r="B69" s="33"/>
      <x:c r="C69" s="33"/>
      <x:c r="D69" s="33"/>
      <x:c r="E69" s="33"/>
    </x:row>
    <x:row r="70">
      <x:c r="A70" s="33"/>
      <x:c r="B70" s="33"/>
      <x:c r="C70" s="33"/>
      <x:c r="D70" s="33"/>
      <x:c r="E70" s="33"/>
    </x:row>
    <x:row r="71">
      <x:c r="A71" s="33"/>
      <x:c r="B71" s="33"/>
      <x:c r="C71" s="33"/>
      <x:c r="D71" s="33"/>
      <x:c r="E71" s="33"/>
    </x:row>
    <x:row r="72">
      <x:c r="A72" s="33"/>
      <x:c r="B72" s="33"/>
      <x:c r="C72" s="33"/>
      <x:c r="D72" s="33"/>
      <x:c r="E72" s="33"/>
    </x:row>
    <x:row r="73">
      <x:c r="A73" s="33"/>
      <x:c r="B73" s="33"/>
      <x:c r="C73" s="33"/>
      <x:c r="D73" s="33"/>
      <x:c r="E73" s="33"/>
    </x:row>
    <x:row r="74">
      <x:c r="A74" s="33"/>
      <x:c r="B74" s="33"/>
      <x:c r="C74" s="33"/>
      <x:c r="D74" s="33"/>
      <x:c r="E74" s="33"/>
    </x:row>
    <x:row r="75">
      <x:c r="A75" s="33"/>
      <x:c r="B75" s="33"/>
      <x:c r="C75" s="33"/>
      <x:c r="D75" s="33"/>
      <x:c r="E75" s="33"/>
    </x:row>
    <x:row r="76">
      <x:c r="A76" s="33"/>
      <x:c r="B76" s="33"/>
      <x:c r="C76" s="33"/>
      <x:c r="D76" s="33"/>
      <x:c r="E76" s="33"/>
    </x:row>
    <x:row r="77">
      <x:c r="A77" s="33"/>
      <x:c r="B77" s="33"/>
      <x:c r="C77" s="33"/>
      <x:c r="D77" s="33"/>
      <x:c r="E77" s="33"/>
    </x:row>
    <x:row r="78">
      <x:c r="A78" s="33"/>
      <x:c r="B78" s="33"/>
      <x:c r="C78" s="33"/>
      <x:c r="D78" s="33"/>
      <x:c r="E78" s="33"/>
    </x:row>
    <x:row r="79">
      <x:c r="A79" s="33"/>
      <x:c r="B79" s="33"/>
      <x:c r="C79" s="33"/>
      <x:c r="D79" s="33"/>
      <x:c r="E79" s="33"/>
    </x:row>
    <x:row r="80">
      <x:c r="A80" s="33"/>
      <x:c r="B80" s="33"/>
      <x:c r="C80" s="33"/>
      <x:c r="D80" s="33"/>
      <x:c r="E80" s="3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4e46040d37742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24" hidden="0" customWidth="1"/>
    <x:col min="4" max="4" width="52" hidden="0" customWidth="1"/>
    <x:col min="5" max="5" width="56" hidden="0" customWidth="1"/>
  </x:cols>
  <x:sheetData>
    <x:row r="1" ht="28" customHeight="1">
      <x:c r="A1" s="32" t="str">
        <x:v>Black-zone examples by patient stage</x:v>
      </x:c>
      <x:c r="B1" s="32"/>
      <x:c r="C1" s="32"/>
      <x:c r="D1" s="32"/>
      <x:c r="E1" s="32"/>
    </x:row>
    <x:row r="2" ht="32" customHeight="1">
      <x:c r="A2" s="12" t="str">
        <x:v>Where real-world workflows lose signals, with concrete design affordances linked to evidence cases.</x:v>
      </x:c>
      <x:c r="B2" s="12"/>
      <x:c r="C2" s="12"/>
      <x:c r="D2" s="12"/>
      <x:c r="E2" s="12"/>
    </x:row>
    <x:row r="3">
      <x:c r="A3" s="33"/>
      <x:c r="B3" s="33"/>
      <x:c r="C3" s="33"/>
      <x:c r="D3" s="33"/>
      <x:c r="E3" s="33"/>
    </x:row>
    <x:row r="4" ht="30" customHeight="1">
      <x:c r="A4" s="20" t="str">
        <x:v>Patient stage</x:v>
      </x:c>
      <x:c r="B4" s="20" t="str">
        <x:v>Black-zone example</x:v>
      </x:c>
      <x:c r="C4" s="20" t="str">
        <x:v>Case IDs</x:v>
      </x:c>
      <x:c r="D4" s="20" t="str">
        <x:v>What got lost</x:v>
      </x:c>
      <x:c r="E4" s="20" t="str">
        <x:v>Design affordance</x:v>
      </x:c>
    </x:row>
    <x:row r="5">
      <x:c r="A5" s="28" t="str">
        <x:v>before visit</x:v>
      </x:c>
      <x:c r="B5" s="28" t="str">
        <x:v>Access/insurance/payment and community-care pathways affect whether testing begins.</x:v>
      </x:c>
      <x:c r="C5" s="28" t="str">
        <x:v>B-025, B-026, B-031</x:v>
      </x:c>
      <x:c r="D5" s="28" t="str">
        <x:v>High-risk history and persistent symptoms never enter a stable diagnostic pathway.</x:v>
      </x:c>
      <x:c r="E5" s="28" t="str">
        <x:v>Community intake + access-risk flags + incomplete-workup registry.</x:v>
      </x:c>
    </x:row>
    <x:row r="6">
      <x:c r="A6" s="28" t="str">
        <x:v>arrival / registration</x:v>
      </x:c>
      <x:c r="B6" s="28" t="str">
        <x:v>Key context such as family history, recent discharge, or repeat visit may not be visible.</x:v>
      </x:c>
      <x:c r="C6" s="28" t="str">
        <x:v>B-006, B-031</x:v>
      </x:c>
      <x:c r="D6" s="28" t="str">
        <x:v>A return visit can look like a new isolated encounter.</x:v>
      </x:c>
      <x:c r="E6" s="28" t="str">
        <x:v>Front-door repeat-visit banner and family-history prompt.</x:v>
      </x:c>
    </x:row>
    <x:row r="7">
      <x:c r="A7" s="28" t="str">
        <x:v>nurse triage / vitals</x:v>
      </x:c>
      <x:c r="B7" s="28" t="str">
        <x:v>Abnormal vitals exist but are not integrated into diagnosis.</x:v>
      </x:c>
      <x:c r="C7" s="28" t="str">
        <x:v>B-006, B-007, B-016</x:v>
      </x:c>
      <x:c r="D7" s="28" t="str">
        <x:v>Tachycardia, tachypnea, oxygen saturation, neuro deficits lose salience.</x:v>
      </x:c>
      <x:c r="E7" s="28" t="str">
        <x:v>Triage risk model with forced reassessment when vitals worsen or repeat visits occur.</x:v>
      </x:c>
    </x:row>
    <x:row r="8">
      <x:c r="A8" s="28" t="str">
        <x:v>first clinician assessment</x:v>
      </x:c>
      <x:c r="B8" s="28" t="str">
        <x:v>First plausible diagnosis closes the case.</x:v>
      </x:c>
      <x:c r="C8" s="28" t="str">
        <x:v>B-003, B-008, B-010, B-016, B-028</x:v>
      </x:c>
      <x:c r="D8" s="28" t="str">
        <x:v>Anxiety/asthma/gastroenteritis/seizure/COVID labels hide alternatives.</x:v>
      </x:c>
      <x:c r="E8" s="28" t="str">
        <x:v>Diagnostic time-out: 'what would be dangerous to miss?' with condition-specific prompts.</x:v>
      </x:c>
    </x:row>
    <x:row r="9">
      <x:c r="A9" s="28" t="str">
        <x:v>medical history</x:v>
      </x:c>
      <x:c r="B9" s="28" t="str">
        <x:v>Family history, medication access, and symptom timeline are not integrated.</x:v>
      </x:c>
      <x:c r="C9" s="28" t="str">
        <x:v>B-013, B-023, B-031</x:v>
      </x:c>
      <x:c r="D9" s="28" t="str">
        <x:v>Cost-related medication interruption or autoimmune/cancer family history is treated as background.</x:v>
      </x:c>
      <x:c r="E9" s="28" t="str">
        <x:v>Structured risk-context capture linked to decision support.</x:v>
      </x:c>
    </x:row>
    <x:row r="10">
      <x:c r="A10" s="28" t="str">
        <x:v>physical exam</x:v>
      </x:c>
      <x:c r="B10" s="28" t="str">
        <x:v>Time-sensitive exams can be absent or delayed.</x:v>
      </x:c>
      <x:c r="C10" s="28" t="str">
        <x:v>B-010, B-030</x:v>
      </x:c>
      <x:c r="D10" s="28" t="str">
        <x:v>Abdominal/testicular signs and evolving pain are not escalated fast enough.</x:v>
      </x:c>
      <x:c r="E10" s="28" t="str">
        <x:v>Complaint-linked exam checklist and timer for torsion/appendicitis pathways.</x:v>
      </x:c>
    </x:row>
    <x:row r="11">
      <x:c r="A11" s="28" t="str">
        <x:v>labs ordered</x:v>
      </x:c>
      <x:c r="B11" s="28" t="str">
        <x:v>Right lab is not ordered, or ordered but not matched to presentation.</x:v>
      </x:c>
      <x:c r="C11" s="28" t="str">
        <x:v>B-011, B-013, B-015, B-026</x:v>
      </x:c>
      <x:c r="D11" s="28" t="str">
        <x:v>CRP, thyroid tests, antibody results, RDT/microscopy availability.</x:v>
      </x:c>
      <x:c r="E11" s="28" t="str">
        <x:v>Order-set suggestions and stockout-aware alternatives.</x:v>
      </x:c>
    </x:row>
    <x:row r="12">
      <x:c r="A12" s="28" t="str">
        <x:v>imaging ordered</x:v>
      </x:c>
      <x:c r="B12" s="28" t="str">
        <x:v>Wrong imaging, no imaging, or limited anatomic scope.</x:v>
      </x:c>
      <x:c r="C12" s="28" t="str">
        <x:v>B-004, B-006, B-016, B-030</x:v>
      </x:c>
      <x:c r="D12" s="28" t="str">
        <x:v>Thoracic abscess missed by lumbar MRI; no CXR; no CTA/perfusion; delayed ultrasound.</x:v>
      </x:c>
      <x:c r="E12" s="28" t="str">
        <x:v>Imaging scope/rule-out warning and emergency pathway trigger.</x:v>
      </x:c>
    </x:row>
    <x:row r="13">
      <x:c r="A13" s="28" t="str">
        <x:v>lab/imaging interpretation</x:v>
      </x:c>
      <x:c r="B13" s="28" t="str">
        <x:v>Abnormal result exists but severity/action is not communicated.</x:v>
      </x:c>
      <x:c r="C13" s="28" t="str">
        <x:v>B-008, B-012, B-015, B-017, B-018</x:v>
      </x:c>
      <x:c r="D13" s="28" t="str">
        <x:v>Right-heart strain, Listeria, AChR antibody, echo vegetation, unexpected radiology finding.</x:v>
      </x:c>
      <x:c r="E13" s="28" t="str">
        <x:v>Critical semantics + acknowledgment + action tracking.</x:v>
      </x:c>
    </x:row>
    <x:row r="14">
      <x:c r="A14" s="28" t="str">
        <x:v>diagnosis discussion / discharge</x:v>
      </x:c>
      <x:c r="B14" s="28" t="str">
        <x:v>Pending results and uncertainty disappear from the patient plan.</x:v>
      </x:c>
      <x:c r="C14" s="28" t="str">
        <x:v>B-007, B-012, B-017</x:v>
      </x:c>
      <x:c r="D14" s="28" t="str">
        <x:v>Patient leaves before critical information returns or before serial tests are done.</x:v>
      </x:c>
      <x:c r="E14" s="28" t="str">
        <x:v>Discharge plan must list pending tests, owner, date, escalation route, and patient-facing meaning.</x:v>
      </x:c>
    </x:row>
    <x:row r="15">
      <x:c r="A15" s="28" t="str">
        <x:v>referral</x:v>
      </x:c>
      <x:c r="B15" s="28" t="str">
        <x:v>Referral is needed but not made, delayed, wrong, or abandoned after poor interaction.</x:v>
      </x:c>
      <x:c r="C15" s="28" t="str">
        <x:v>B-002, B-005, B-029, B-032</x:v>
      </x:c>
      <x:c r="D15" s="28" t="str">
        <x:v>Specialty handoff does not happen or patient drops out after negative encounter.</x:v>
      </x:c>
      <x:c r="E15" s="28" t="str">
        <x:v>Referral closure tracking plus patient experience/escalation feedback loop.</x:v>
      </x:c>
    </x:row>
    <x:row r="16">
      <x:c r="A16" s="28" t="str">
        <x:v>follow-up / repeat visit</x:v>
      </x:c>
      <x:c r="B16" s="28" t="str">
        <x:v>Return visits do not cause diagnostic reset.</x:v>
      </x:c>
      <x:c r="C16" s="28" t="str">
        <x:v>B-006, B-009, B-010, B-028, B-030</x:v>
      </x:c>
      <x:c r="D16" s="28" t="str">
        <x:v>The system repeats the same explanation despite worsening signals.</x:v>
      </x:c>
      <x:c r="E16" s="28" t="str">
        <x:v>Repeat-visit diagnostic reset requiring a new differential and review of prior notes/results.</x:v>
      </x:c>
    </x:row>
    <x:row r="17">
      <x:c r="A17" s="28" t="str">
        <x:v>specialist review</x:v>
      </x:c>
      <x:c r="B17" s="28" t="str">
        <x:v>Specialist sees one slice, remote note, or wrong chart.</x:v>
      </x:c>
      <x:c r="C17" s="28" t="str">
        <x:v>B-011, B-016, B-024</x:v>
      </x:c>
      <x:c r="D17" s="28" t="str">
        <x:v>Wrong patient chart, remote stroke decision, specialty assumptions.</x:v>
      </x:c>
      <x:c r="E17" s="28" t="str">
        <x:v>Identity verification, red-flag checklist, and cross-specialty summary pane.</x:v>
      </x:c>
    </x:row>
    <x:row r="18">
      <x:c r="A18" s="28" t="str">
        <x:v>long-term monitoring</x:v>
      </x:c>
      <x:c r="B18" s="28" t="str">
        <x:v>Slow trends and chronic invalidation hide deterioration.</x:v>
      </x:c>
      <x:c r="C18" s="28" t="str">
        <x:v>B-001, B-014, B-020, B-021, B-022</x:v>
      </x:c>
      <x:c r="D18" s="28" t="str">
        <x:v>Anemia trend, repeated admissions, persistent symptoms, nutrition decline.</x:v>
      </x:c>
      <x:c r="E18" s="28" t="str">
        <x:v>Trend explorer with unresolved-problem list and functional status/quality-of-life metrics.</x:v>
      </x:c>
    </x:row>
    <x:row r="19">
      <x:c r="A19" s="33"/>
      <x:c r="B19" s="33"/>
      <x:c r="C19" s="33"/>
      <x:c r="D19" s="33"/>
      <x:c r="E19" s="33"/>
    </x:row>
    <x:row r="20">
      <x:c r="A20" s="33"/>
      <x:c r="B20" s="33"/>
      <x:c r="C20" s="33"/>
      <x:c r="D20" s="33"/>
      <x:c r="E20" s="33"/>
    </x:row>
    <x:row r="21">
      <x:c r="A21" s="33"/>
      <x:c r="B21" s="33"/>
      <x:c r="C21" s="33"/>
      <x:c r="D21" s="33"/>
      <x:c r="E21" s="33"/>
    </x:row>
    <x:row r="22">
      <x:c r="A22" s="33"/>
      <x:c r="B22" s="33"/>
      <x:c r="C22" s="33"/>
      <x:c r="D22" s="33"/>
      <x:c r="E22" s="33"/>
    </x:row>
    <x:row r="23">
      <x:c r="A23" s="33"/>
      <x:c r="B23" s="33"/>
      <x:c r="C23" s="33"/>
      <x:c r="D23" s="33"/>
      <x:c r="E23" s="33"/>
    </x:row>
    <x:row r="24">
      <x:c r="A24" s="33"/>
      <x:c r="B24" s="33"/>
      <x:c r="C24" s="33"/>
      <x:c r="D24" s="33"/>
      <x:c r="E24" s="33"/>
    </x:row>
    <x:row r="25">
      <x:c r="A25" s="33"/>
      <x:c r="B25" s="33"/>
      <x:c r="C25" s="33"/>
      <x:c r="D25" s="33"/>
      <x:c r="E25" s="33"/>
    </x:row>
    <x:row r="26">
      <x:c r="A26" s="33"/>
      <x:c r="B26" s="33"/>
      <x:c r="C26" s="33"/>
      <x:c r="D26" s="33"/>
      <x:c r="E26" s="33"/>
    </x:row>
    <x:row r="27">
      <x:c r="A27" s="33"/>
      <x:c r="B27" s="33"/>
      <x:c r="C27" s="33"/>
      <x:c r="D27" s="33"/>
      <x:c r="E27" s="33"/>
    </x:row>
    <x:row r="28">
      <x:c r="A28" s="33"/>
      <x:c r="B28" s="33"/>
      <x:c r="C28" s="33"/>
      <x:c r="D28" s="33"/>
      <x:c r="E28" s="33"/>
    </x:row>
    <x:row r="29">
      <x:c r="A29" s="33"/>
      <x:c r="B29" s="33"/>
      <x:c r="C29" s="33"/>
      <x:c r="D29" s="33"/>
      <x:c r="E29" s="33"/>
    </x:row>
    <x:row r="30">
      <x:c r="A30" s="33"/>
      <x:c r="B30" s="33"/>
      <x:c r="C30" s="33"/>
      <x:c r="D30" s="33"/>
      <x:c r="E30" s="33"/>
    </x:row>
    <x:row r="31">
      <x:c r="A31" s="33"/>
      <x:c r="B31" s="33"/>
      <x:c r="C31" s="33"/>
      <x:c r="D31" s="33"/>
      <x:c r="E31" s="33"/>
    </x:row>
    <x:row r="32">
      <x:c r="A32" s="33"/>
      <x:c r="B32" s="33"/>
      <x:c r="C32" s="33"/>
      <x:c r="D32" s="33"/>
      <x:c r="E32" s="33"/>
    </x:row>
    <x:row r="33">
      <x:c r="A33" s="33"/>
      <x:c r="B33" s="33"/>
      <x:c r="C33" s="33"/>
      <x:c r="D33" s="33"/>
      <x:c r="E33" s="33"/>
    </x:row>
    <x:row r="34">
      <x:c r="A34" s="33"/>
      <x:c r="B34" s="33"/>
      <x:c r="C34" s="33"/>
      <x:c r="D34" s="33"/>
      <x:c r="E34" s="33"/>
    </x:row>
    <x:row r="35">
      <x:c r="A35" s="33"/>
      <x:c r="B35" s="33"/>
      <x:c r="C35" s="33"/>
      <x:c r="D35" s="33"/>
      <x:c r="E35" s="33"/>
    </x:row>
    <x:row r="36">
      <x:c r="A36" s="33"/>
      <x:c r="B36" s="33"/>
      <x:c r="C36" s="33"/>
      <x:c r="D36" s="33"/>
      <x:c r="E36" s="33"/>
    </x:row>
    <x:row r="37">
      <x:c r="A37" s="33"/>
      <x:c r="B37" s="33"/>
      <x:c r="C37" s="33"/>
      <x:c r="D37" s="33"/>
      <x:c r="E37" s="33"/>
    </x:row>
    <x:row r="38">
      <x:c r="A38" s="33"/>
      <x:c r="B38" s="33"/>
      <x:c r="C38" s="33"/>
      <x:c r="D38" s="33"/>
      <x:c r="E38" s="33"/>
    </x:row>
    <x:row r="39">
      <x:c r="A39" s="33"/>
      <x:c r="B39" s="33"/>
      <x:c r="C39" s="33"/>
      <x:c r="D39" s="33"/>
      <x:c r="E39" s="33"/>
    </x:row>
    <x:row r="40">
      <x:c r="A40" s="33"/>
      <x:c r="B40" s="33"/>
      <x:c r="C40" s="33"/>
      <x:c r="D40" s="33"/>
      <x:c r="E40" s="33"/>
    </x:row>
    <x:row r="41">
      <x:c r="A41" s="33"/>
      <x:c r="B41" s="33"/>
      <x:c r="C41" s="33"/>
      <x:c r="D41" s="33"/>
      <x:c r="E41" s="33"/>
    </x:row>
    <x:row r="42">
      <x:c r="A42" s="33"/>
      <x:c r="B42" s="33"/>
      <x:c r="C42" s="33"/>
      <x:c r="D42" s="33"/>
      <x:c r="E42" s="33"/>
    </x:row>
    <x:row r="43">
      <x:c r="A43" s="33"/>
      <x:c r="B43" s="33"/>
      <x:c r="C43" s="33"/>
      <x:c r="D43" s="33"/>
      <x:c r="E43" s="33"/>
    </x:row>
    <x:row r="44">
      <x:c r="A44" s="33"/>
      <x:c r="B44" s="33"/>
      <x:c r="C44" s="33"/>
      <x:c r="D44" s="33"/>
      <x:c r="E44" s="33"/>
    </x:row>
    <x:row r="45">
      <x:c r="A45" s="33"/>
      <x:c r="B45" s="33"/>
      <x:c r="C45" s="33"/>
      <x:c r="D45" s="33"/>
      <x:c r="E45" s="33"/>
    </x:row>
    <x:row r="46">
      <x:c r="A46" s="33"/>
      <x:c r="B46" s="33"/>
      <x:c r="C46" s="33"/>
      <x:c r="D46" s="33"/>
      <x:c r="E46" s="33"/>
    </x:row>
    <x:row r="47">
      <x:c r="A47" s="33"/>
      <x:c r="B47" s="33"/>
      <x:c r="C47" s="33"/>
      <x:c r="D47" s="33"/>
      <x:c r="E47" s="33"/>
    </x:row>
    <x:row r="48">
      <x:c r="A48" s="33"/>
      <x:c r="B48" s="33"/>
      <x:c r="C48" s="33"/>
      <x:c r="D48" s="33"/>
      <x:c r="E48" s="33"/>
    </x:row>
    <x:row r="49">
      <x:c r="A49" s="33"/>
      <x:c r="B49" s="33"/>
      <x:c r="C49" s="33"/>
      <x:c r="D49" s="33"/>
      <x:c r="E49" s="33"/>
    </x:row>
    <x:row r="50">
      <x:c r="A50" s="33"/>
      <x:c r="B50" s="33"/>
      <x:c r="C50" s="33"/>
      <x:c r="D50" s="33"/>
      <x:c r="E50" s="33"/>
    </x:row>
    <x:row r="51">
      <x:c r="A51" s="33"/>
      <x:c r="B51" s="33"/>
      <x:c r="C51" s="33"/>
      <x:c r="D51" s="33"/>
      <x:c r="E51" s="33"/>
    </x:row>
    <x:row r="52">
      <x:c r="A52" s="33"/>
      <x:c r="B52" s="33"/>
      <x:c r="C52" s="33"/>
      <x:c r="D52" s="33"/>
      <x:c r="E52" s="33"/>
    </x:row>
    <x:row r="53">
      <x:c r="A53" s="33"/>
      <x:c r="B53" s="33"/>
      <x:c r="C53" s="33"/>
      <x:c r="D53" s="33"/>
      <x:c r="E53" s="33"/>
    </x:row>
    <x:row r="54">
      <x:c r="A54" s="33"/>
      <x:c r="B54" s="33"/>
      <x:c r="C54" s="33"/>
      <x:c r="D54" s="33"/>
      <x:c r="E54" s="33"/>
    </x:row>
    <x:row r="55">
      <x:c r="A55" s="33"/>
      <x:c r="B55" s="33"/>
      <x:c r="C55" s="33"/>
      <x:c r="D55" s="33"/>
      <x:c r="E55" s="33"/>
    </x:row>
    <x:row r="56">
      <x:c r="A56" s="33"/>
      <x:c r="B56" s="33"/>
      <x:c r="C56" s="33"/>
      <x:c r="D56" s="33"/>
      <x:c r="E56" s="33"/>
    </x:row>
    <x:row r="57">
      <x:c r="A57" s="33"/>
      <x:c r="B57" s="33"/>
      <x:c r="C57" s="33"/>
      <x:c r="D57" s="33"/>
      <x:c r="E57" s="33"/>
    </x:row>
    <x:row r="58">
      <x:c r="A58" s="33"/>
      <x:c r="B58" s="33"/>
      <x:c r="C58" s="33"/>
      <x:c r="D58" s="33"/>
      <x:c r="E58" s="33"/>
    </x:row>
    <x:row r="59">
      <x:c r="A59" s="33"/>
      <x:c r="B59" s="33"/>
      <x:c r="C59" s="33"/>
      <x:c r="D59" s="33"/>
      <x:c r="E59" s="33"/>
    </x:row>
    <x:row r="60">
      <x:c r="A60" s="33"/>
      <x:c r="B60" s="33"/>
      <x:c r="C60" s="33"/>
      <x:c r="D60" s="33"/>
      <x:c r="E60" s="33"/>
    </x:row>
    <x:row r="61">
      <x:c r="A61" s="33"/>
      <x:c r="B61" s="33"/>
      <x:c r="C61" s="33"/>
      <x:c r="D61" s="33"/>
      <x:c r="E61" s="33"/>
    </x:row>
    <x:row r="62">
      <x:c r="A62" s="33"/>
      <x:c r="B62" s="33"/>
      <x:c r="C62" s="33"/>
      <x:c r="D62" s="33"/>
      <x:c r="E62" s="33"/>
    </x:row>
    <x:row r="63">
      <x:c r="A63" s="33"/>
      <x:c r="B63" s="33"/>
      <x:c r="C63" s="33"/>
      <x:c r="D63" s="33"/>
      <x:c r="E63" s="33"/>
    </x:row>
    <x:row r="64">
      <x:c r="A64" s="33"/>
      <x:c r="B64" s="33"/>
      <x:c r="C64" s="33"/>
      <x:c r="D64" s="33"/>
      <x:c r="E64" s="33"/>
    </x:row>
    <x:row r="65">
      <x:c r="A65" s="33"/>
      <x:c r="B65" s="33"/>
      <x:c r="C65" s="33"/>
      <x:c r="D65" s="33"/>
      <x:c r="E65" s="33"/>
    </x:row>
    <x:row r="66">
      <x:c r="A66" s="33"/>
      <x:c r="B66" s="33"/>
      <x:c r="C66" s="33"/>
      <x:c r="D66" s="33"/>
      <x:c r="E66" s="33"/>
    </x:row>
    <x:row r="67">
      <x:c r="A67" s="33"/>
      <x:c r="B67" s="33"/>
      <x:c r="C67" s="33"/>
      <x:c r="D67" s="33"/>
      <x:c r="E67" s="33"/>
    </x:row>
    <x:row r="68">
      <x:c r="A68" s="33"/>
      <x:c r="B68" s="33"/>
      <x:c r="C68" s="33"/>
      <x:c r="D68" s="33"/>
      <x:c r="E68" s="33"/>
    </x:row>
    <x:row r="69">
      <x:c r="A69" s="33"/>
      <x:c r="B69" s="33"/>
      <x:c r="C69" s="33"/>
      <x:c r="D69" s="33"/>
      <x:c r="E69" s="33"/>
    </x:row>
    <x:row r="70">
      <x:c r="A70" s="33"/>
      <x:c r="B70" s="33"/>
      <x:c r="C70" s="33"/>
      <x:c r="D70" s="33"/>
      <x:c r="E70" s="33"/>
    </x:row>
    <x:row r="71">
      <x:c r="A71" s="33"/>
      <x:c r="B71" s="33"/>
      <x:c r="C71" s="33"/>
      <x:c r="D71" s="33"/>
      <x:c r="E71" s="33"/>
    </x:row>
    <x:row r="72">
      <x:c r="A72" s="33"/>
      <x:c r="B72" s="33"/>
      <x:c r="C72" s="33"/>
      <x:c r="D72" s="33"/>
      <x:c r="E72" s="33"/>
    </x:row>
    <x:row r="73">
      <x:c r="A73" s="33"/>
      <x:c r="B73" s="33"/>
      <x:c r="C73" s="33"/>
      <x:c r="D73" s="33"/>
      <x:c r="E73" s="33"/>
    </x:row>
    <x:row r="74">
      <x:c r="A74" s="33"/>
      <x:c r="B74" s="33"/>
      <x:c r="C74" s="33"/>
      <x:c r="D74" s="33"/>
      <x:c r="E74" s="33"/>
    </x:row>
    <x:row r="75">
      <x:c r="A75" s="33"/>
      <x:c r="B75" s="33"/>
      <x:c r="C75" s="33"/>
      <x:c r="D75" s="33"/>
      <x:c r="E75" s="33"/>
    </x:row>
    <x:row r="76">
      <x:c r="A76" s="33"/>
      <x:c r="B76" s="33"/>
      <x:c r="C76" s="33"/>
      <x:c r="D76" s="33"/>
      <x:c r="E76" s="33"/>
    </x:row>
    <x:row r="77">
      <x:c r="A77" s="33"/>
      <x:c r="B77" s="33"/>
      <x:c r="C77" s="33"/>
      <x:c r="D77" s="33"/>
      <x:c r="E77" s="33"/>
    </x:row>
    <x:row r="78">
      <x:c r="A78" s="33"/>
      <x:c r="B78" s="33"/>
      <x:c r="C78" s="33"/>
      <x:c r="D78" s="33"/>
      <x:c r="E78" s="33"/>
    </x:row>
    <x:row r="79">
      <x:c r="A79" s="33"/>
      <x:c r="B79" s="33"/>
      <x:c r="C79" s="33"/>
      <x:c r="D79" s="33"/>
      <x:c r="E79" s="33"/>
    </x:row>
    <x:row r="80">
      <x:c r="A80" s="33"/>
      <x:c r="B80" s="33"/>
      <x:c r="C80" s="33"/>
      <x:c r="D80" s="33"/>
      <x:c r="E80" s="3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4de747895524e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42" hidden="0" customWidth="1"/>
    <x:col min="4" max="4" width="56" hidden="0" customWidth="1"/>
    <x:col min="5" max="5" width="24" hidden="0" customWidth="1"/>
    <x:col min="6" max="6" width="46" hidden="0" customWidth="1"/>
  </x:cols>
  <x:sheetData>
    <x:row r="1" ht="28" customHeight="1">
      <x:c r="A1" s="32" t="str">
        <x:v>Product opportunities for earlier detection</x:v>
      </x:c>
      <x:c r="B1" s="32"/>
      <x:c r="C1" s="32"/>
      <x:c r="D1" s="32"/>
      <x:c r="E1" s="32"/>
      <x:c r="F1" s="32"/>
    </x:row>
    <x:row r="2" ht="32" customHeight="1">
      <x:c r="A2" s="12" t="str">
        <x:v>Interpretive product concepts tied to documented failure patterns and guardrails.</x:v>
      </x:c>
      <x:c r="B2" s="12"/>
      <x:c r="C2" s="12"/>
      <x:c r="D2" s="12"/>
      <x:c r="E2" s="12"/>
      <x:c r="F2" s="12"/>
    </x:row>
    <x:row r="3">
      <x:c r="A3" s="33"/>
      <x:c r="B3" s="33"/>
      <x:c r="C3" s="33"/>
      <x:c r="D3" s="33"/>
      <x:c r="E3" s="33"/>
      <x:c r="F3" s="33"/>
    </x:row>
    <x:row r="4" ht="30" customHeight="1">
      <x:c r="A4" s="20" t="str">
        <x:v>Opportunity</x:v>
      </x:c>
      <x:c r="B4" s="20" t="str">
        <x:v>Workflow stage</x:v>
      </x:c>
      <x:c r="C4" s="20" t="str">
        <x:v>Trigger/signal</x:v>
      </x:c>
      <x:c r="D4" s="20" t="str">
        <x:v>Product concept</x:v>
      </x:c>
      <x:c r="E4" s="20" t="str">
        <x:v>Evidence cases</x:v>
      </x:c>
      <x:c r="F4" s="20" t="str">
        <x:v>Risk / guardrail</x:v>
      </x:c>
    </x:row>
    <x:row r="5">
      <x:c r="A5" s="28" t="str">
        <x:v>Longitudinal diagnostic signal accumulator</x:v>
      </x:c>
      <x:c r="B5" s="28" t="str">
        <x:v>medical history; follow-up; repeat visit</x:v>
      </x:c>
      <x:c r="C5" s="28" t="str">
        <x:v>Repeated visits, slow lab drift, weight loss, multi-system symptoms</x:v>
      </x:c>
      <x:c r="D5" s="28" t="str">
        <x:v>Auto-cluster symptoms/labs/visits/referrals into unresolved diagnostic threads.</x:v>
      </x:c>
      <x:c r="E5" s="28" t="str">
        <x:v>B-001, B-009, B-014, B-020, B-021</x:v>
      </x:c>
      <x:c r="F5" s="28" t="str">
        <x:v>Avoid over-alerting by requiring meaningful change, persistence, or multi-domain convergence.</x:v>
      </x:c>
    </x:row>
    <x:row r="6">
      <x:c r="A6" s="28" t="str">
        <x:v>Repeat-visit diagnostic reset</x:v>
      </x:c>
      <x:c r="B6" s="28" t="str">
        <x:v>arrival; triage; first assessment</x:v>
      </x:c>
      <x:c r="C6" s="28" t="str">
        <x:v>Return within days/weeks for same/worse complaint</x:v>
      </x:c>
      <x:c r="D6" s="28" t="str">
        <x:v>Require clinician to review prior diagnosis, what changed, and dangerous alternatives.</x:v>
      </x:c>
      <x:c r="E6" s="28" t="str">
        <x:v>B-006, B-010, B-028, B-030</x:v>
      </x:c>
      <x:c r="F6" s="28" t="str">
        <x:v>Must not punish necessary return visits; frame as safety support.</x:v>
      </x:c>
    </x:row>
    <x:row r="7">
      <x:c r="A7" s="28" t="str">
        <x:v>Closed-loop abnormal result ownership</x:v>
      </x:c>
      <x:c r="B7" s="28" t="str">
        <x:v>labs/imaging interpretation; discharge</x:v>
      </x:c>
      <x:c r="C7" s="28" t="str">
        <x:v>Abnormal lab/imaging/microbiology after visit/discharge</x:v>
      </x:c>
      <x:c r="D7" s="28" t="str">
        <x:v>Assign owner + deadline + patient notification + acknowledgment + action status.</x:v>
      </x:c>
      <x:c r="E7" s="28" t="str">
        <x:v>B-011, B-012, B-015, B-017, B-018</x:v>
      </x:c>
      <x:c r="F7" s="28" t="str">
        <x:v>Escalation should be calibrated by criticality and context.</x:v>
      </x:c>
    </x:row>
    <x:row r="8">
      <x:c r="A8" s="28" t="str">
        <x:v>Normal-test trap explainer</x:v>
      </x:c>
      <x:c r="B8" s="28" t="str">
        <x:v>diagnosis discussion; specialist review</x:v>
      </x:c>
      <x:c r="C8" s="28" t="str">
        <x:v>Clinician cites prior/normal test to close diagnosis</x:v>
      </x:c>
      <x:c r="D8" s="28" t="str">
        <x:v>Show test age, scope, symptom status, and what it cannot rule out.</x:v>
      </x:c>
      <x:c r="E8" s="28" t="str">
        <x:v>B-001, B-003, B-004, B-016</x:v>
      </x:c>
      <x:c r="F8" s="28" t="str">
        <x:v>Decision support should inform, not override, clinical judgment.</x:v>
      </x:c>
    </x:row>
    <x:row r="9">
      <x:c r="A9" s="28" t="str">
        <x:v>Patient voice + severity capture</x:v>
      </x:c>
      <x:c r="B9" s="28" t="str">
        <x:v>intake form; diagnosis discussion; follow-up</x:v>
      </x:c>
      <x:c r="C9" s="28" t="str">
        <x:v>Patient says not being heard, severe impairment, or fear of missed disease</x:v>
      </x:c>
      <x:c r="D9" s="28" t="str">
        <x:v>Structured fields for patient concern, functional limits, photos, family history, and timeline.</x:v>
      </x:c>
      <x:c r="E9" s="28" t="str">
        <x:v>B-002, B-020, B-022, B-023</x:v>
      </x:c>
      <x:c r="F9" s="28" t="str">
        <x:v>Protect against stigmatizing notes; keep patient language respectful and relevant.</x:v>
      </x:c>
    </x:row>
    <x:row r="10">
      <x:c r="A10" s="28" t="str">
        <x:v>Bias/misattribution guardrail</x:v>
      </x:c>
      <x:c r="B10" s="28" t="str">
        <x:v>first assessment; referral</x:v>
      </x:c>
      <x:c r="C10" s="28" t="str">
        <x:v>Anxiety/stress/weight/age/gender labels used with persistent physical symptoms</x:v>
      </x:c>
      <x:c r="D10" s="28" t="str">
        <x:v>Prompt clinician to document physical red flags ruled out before psychiatric attribution.</x:v>
      </x:c>
      <x:c r="E10" s="28" t="str">
        <x:v>B-003, B-021, B-023, B-024</x:v>
      </x:c>
      <x:c r="F10" s="28" t="str">
        <x:v>Do not imply mental health conditions are not real; focus on coexisting physical risk.</x:v>
      </x:c>
    </x:row>
    <x:row r="11">
      <x:c r="A11" s="28" t="str">
        <x:v>Cross-specialty referral map</x:v>
      </x:c>
      <x:c r="B11" s="28" t="str">
        <x:v>referral; specialist review</x:v>
      </x:c>
      <x:c r="C11" s="28" t="str">
        <x:v>Symptoms span GI/GYN/cardiology/neuro/psych domains</x:v>
      </x:c>
      <x:c r="D11" s="28" t="str">
        <x:v>Suggest adjacent specialties and shared handoff summary for unresolved patterns.</x:v>
      </x:c>
      <x:c r="E11" s="28" t="str">
        <x:v>B-002, B-003, B-024, B-029, B-032</x:v>
      </x:c>
      <x:c r="F11" s="28" t="str">
        <x:v>Needs local referral availability and patient preference.</x:v>
      </x:c>
    </x:row>
    <x:row r="12">
      <x:c r="A12" s="28" t="str">
        <x:v>Imaging finding lifecycle tracker</x:v>
      </x:c>
      <x:c r="B12" s="28" t="str">
        <x:v>imaging interpretation; discharge; follow-up</x:v>
      </x:c>
      <x:c r="C12" s="28" t="str">
        <x:v>Unexpected significant finding or critical imaging detail</x:v>
      </x:c>
      <x:c r="D12" s="28" t="str">
        <x:v>Track from report to clinician acknowledgment, patient notification, referral, and closure.</x:v>
      </x:c>
      <x:c r="E12" s="28" t="str">
        <x:v>B-008, B-017, B-018, B-029</x:v>
      </x:c>
      <x:c r="F12" s="28" t="str">
        <x:v>Separate emergent critical findings from non-urgent but serious findings.</x:v>
      </x:c>
    </x:row>
    <x:row r="13">
      <x:c r="A13" s="28" t="str">
        <x:v>Emergency pathway timers</x:v>
      </x:c>
      <x:c r="B13" s="28" t="str">
        <x:v>ED/urgent care</x:v>
      </x:c>
      <x:c r="C13" s="28" t="str">
        <x:v>Chest pain, torsion symptoms, sepsis signs, focal deficits</x:v>
      </x:c>
      <x:c r="D13" s="28" t="str">
        <x:v>Condition-specific timers/checklists for serial ECG/troponin, ultrasound, CXR, CTA/perfusion.</x:v>
      </x:c>
      <x:c r="E13" s="28" t="str">
        <x:v>B-006, B-007, B-016, B-030</x:v>
      </x:c>
      <x:c r="F13" s="28" t="str">
        <x:v>Must permit clinician override with documented rationale.</x:v>
      </x:c>
    </x:row>
    <x:row r="14">
      <x:c r="A14" s="28" t="str">
        <x:v>Low-resource diagnostic availability layer</x:v>
      </x:c>
      <x:c r="B14" s="28" t="str">
        <x:v>labs ordered; treatment decision</x:v>
      </x:c>
      <x:c r="C14" s="28" t="str">
        <x:v>RDT/microscopy unavailable; stockout; access/payment barrier</x:v>
      </x:c>
      <x:c r="D14" s="28" t="str">
        <x:v>Capture test unavailability, alternate plan, referral, and supply-chain alert.</x:v>
      </x:c>
      <x:c r="E14" s="28" t="str">
        <x:v>B-025, B-026, B-027</x:v>
      </x:c>
      <x:c r="F14" s="28" t="str">
        <x:v>Avoid penalizing clinics for stockouts; route data to system managers.</x:v>
      </x:c>
    </x:row>
    <x:row r="15">
      <x:c r="A15" s="28" t="str">
        <x:v>Medication/access-as-diagnostic-clue</x:v>
      </x:c>
      <x:c r="B15" s="28" t="str">
        <x:v>medical history; first assessment</x:v>
      </x:c>
      <x:c r="C15" s="28" t="str">
        <x:v>Stopped medication due to cost, adherence barriers, device/supply issues</x:v>
      </x:c>
      <x:c r="D15" s="28" t="str">
        <x:v>Surface medication interruption as a risk factor for emergency differentials.</x:v>
      </x:c>
      <x:c r="E15" s="28" t="str">
        <x:v>B-013</x:v>
      </x:c>
      <x:c r="F15" s="28" t="str">
        <x:v>Requires sensitive financial questions and privacy protections.</x:v>
      </x:c>
    </x:row>
    <x:row r="16">
      <x:c r="A16" s="28" t="str">
        <x:v>Pending-test discharge contract</x:v>
      </x:c>
      <x:c r="B16" s="28" t="str">
        <x:v>discharge; follow-up</x:v>
      </x:c>
      <x:c r="C16" s="28" t="str">
        <x:v>Test ordered but not resulted before discharge</x:v>
      </x:c>
      <x:c r="D16" s="28" t="str">
        <x:v>Patient-facing and clinician-facing list of pending results, expected date, owner, and action plan.</x:v>
      </x:c>
      <x:c r="E16" s="28" t="str">
        <x:v>B-012, B-017</x:v>
      </x:c>
      <x:c r="F16" s="28" t="str">
        <x:v>Must ensure patients are not alarmed without interpretation pathways.</x:v>
      </x:c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  <x:row r="19">
      <x:c r="A19" s="33"/>
      <x:c r="B19" s="33"/>
      <x:c r="C19" s="33"/>
      <x:c r="D19" s="33"/>
      <x:c r="E19" s="33"/>
      <x:c r="F19" s="33"/>
    </x:row>
    <x:row r="20">
      <x:c r="A20" s="33"/>
      <x:c r="B20" s="33"/>
      <x:c r="C20" s="33"/>
      <x:c r="D20" s="33"/>
      <x:c r="E20" s="33"/>
      <x:c r="F20" s="33"/>
    </x:row>
    <x:row r="21">
      <x:c r="A21" s="33"/>
      <x:c r="B21" s="33"/>
      <x:c r="C21" s="33"/>
      <x:c r="D21" s="33"/>
      <x:c r="E21" s="33"/>
      <x:c r="F21" s="33"/>
    </x:row>
    <x:row r="22">
      <x:c r="A22" s="33"/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  <x:row r="24">
      <x:c r="A24" s="33"/>
      <x:c r="B24" s="33"/>
      <x:c r="C24" s="33"/>
      <x:c r="D24" s="33"/>
      <x:c r="E24" s="33"/>
      <x:c r="F24" s="33"/>
    </x:row>
    <x:row r="25">
      <x:c r="A25" s="33"/>
      <x:c r="B25" s="33"/>
      <x:c r="C25" s="33"/>
      <x:c r="D25" s="33"/>
      <x:c r="E25" s="33"/>
      <x:c r="F25" s="33"/>
    </x:row>
    <x:row r="26">
      <x:c r="A26" s="33"/>
      <x:c r="B26" s="33"/>
      <x:c r="C26" s="33"/>
      <x:c r="D26" s="33"/>
      <x:c r="E26" s="33"/>
      <x:c r="F26" s="33"/>
    </x:row>
    <x:row r="27">
      <x:c r="A27" s="33"/>
      <x:c r="B27" s="33"/>
      <x:c r="C27" s="33"/>
      <x:c r="D27" s="33"/>
      <x:c r="E27" s="33"/>
      <x:c r="F27" s="33"/>
    </x:row>
    <x:row r="28">
      <x:c r="A28" s="33"/>
      <x:c r="B28" s="33"/>
      <x:c r="C28" s="33"/>
      <x:c r="D28" s="33"/>
      <x:c r="E28" s="33"/>
      <x:c r="F28" s="33"/>
    </x:row>
    <x:row r="29">
      <x:c r="A29" s="33"/>
      <x:c r="B29" s="33"/>
      <x:c r="C29" s="33"/>
      <x:c r="D29" s="33"/>
      <x:c r="E29" s="33"/>
      <x:c r="F29" s="33"/>
    </x:row>
    <x:row r="30">
      <x:c r="A30" s="33"/>
      <x:c r="B30" s="33"/>
      <x:c r="C30" s="33"/>
      <x:c r="D30" s="33"/>
      <x:c r="E30" s="33"/>
      <x:c r="F30" s="33"/>
    </x:row>
    <x:row r="31">
      <x:c r="A31" s="33"/>
      <x:c r="B31" s="33"/>
      <x:c r="C31" s="33"/>
      <x:c r="D31" s="33"/>
      <x:c r="E31" s="33"/>
      <x:c r="F31" s="33"/>
    </x:row>
    <x:row r="32">
      <x:c r="A32" s="33"/>
      <x:c r="B32" s="33"/>
      <x:c r="C32" s="33"/>
      <x:c r="D32" s="33"/>
      <x:c r="E32" s="33"/>
      <x:c r="F32" s="33"/>
    </x:row>
    <x:row r="33">
      <x:c r="A33" s="33"/>
      <x:c r="B33" s="33"/>
      <x:c r="C33" s="33"/>
      <x:c r="D33" s="33"/>
      <x:c r="E33" s="33"/>
      <x:c r="F33" s="33"/>
    </x:row>
    <x:row r="34">
      <x:c r="A34" s="33"/>
      <x:c r="B34" s="33"/>
      <x:c r="C34" s="33"/>
      <x:c r="D34" s="33"/>
      <x:c r="E34" s="33"/>
      <x:c r="F34" s="33"/>
    </x:row>
    <x:row r="35">
      <x:c r="A35" s="33"/>
      <x:c r="B35" s="33"/>
      <x:c r="C35" s="33"/>
      <x:c r="D35" s="33"/>
      <x:c r="E35" s="33"/>
      <x:c r="F35" s="33"/>
    </x:row>
    <x:row r="36">
      <x:c r="A36" s="33"/>
      <x:c r="B36" s="33"/>
      <x:c r="C36" s="33"/>
      <x:c r="D36" s="33"/>
      <x:c r="E36" s="33"/>
      <x:c r="F36" s="33"/>
    </x:row>
    <x:row r="37">
      <x:c r="A37" s="33"/>
      <x:c r="B37" s="33"/>
      <x:c r="C37" s="33"/>
      <x:c r="D37" s="33"/>
      <x:c r="E37" s="33"/>
      <x:c r="F37" s="33"/>
    </x:row>
    <x:row r="38">
      <x:c r="A38" s="33"/>
      <x:c r="B38" s="33"/>
      <x:c r="C38" s="33"/>
      <x:c r="D38" s="33"/>
      <x:c r="E38" s="33"/>
      <x:c r="F38" s="33"/>
    </x:row>
    <x:row r="39">
      <x:c r="A39" s="33"/>
      <x:c r="B39" s="33"/>
      <x:c r="C39" s="33"/>
      <x:c r="D39" s="33"/>
      <x:c r="E39" s="33"/>
      <x:c r="F39" s="33"/>
    </x:row>
    <x:row r="40">
      <x:c r="A40" s="33"/>
      <x:c r="B40" s="33"/>
      <x:c r="C40" s="33"/>
      <x:c r="D40" s="33"/>
      <x:c r="E40" s="33"/>
      <x:c r="F40" s="33"/>
    </x:row>
    <x:row r="41">
      <x:c r="A41" s="33"/>
      <x:c r="B41" s="33"/>
      <x:c r="C41" s="33"/>
      <x:c r="D41" s="33"/>
      <x:c r="E41" s="33"/>
      <x:c r="F41" s="33"/>
    </x:row>
    <x:row r="42">
      <x:c r="A42" s="33"/>
      <x:c r="B42" s="33"/>
      <x:c r="C42" s="33"/>
      <x:c r="D42" s="33"/>
      <x:c r="E42" s="33"/>
      <x:c r="F42" s="33"/>
    </x:row>
    <x:row r="43">
      <x:c r="A43" s="33"/>
      <x:c r="B43" s="33"/>
      <x:c r="C43" s="33"/>
      <x:c r="D43" s="33"/>
      <x:c r="E43" s="33"/>
      <x:c r="F43" s="33"/>
    </x:row>
    <x:row r="44">
      <x:c r="A44" s="33"/>
      <x:c r="B44" s="33"/>
      <x:c r="C44" s="33"/>
      <x:c r="D44" s="33"/>
      <x:c r="E44" s="33"/>
      <x:c r="F44" s="33"/>
    </x:row>
    <x:row r="45">
      <x:c r="A45" s="33"/>
      <x:c r="B45" s="33"/>
      <x:c r="C45" s="33"/>
      <x:c r="D45" s="33"/>
      <x:c r="E45" s="33"/>
      <x:c r="F45" s="33"/>
    </x:row>
    <x:row r="46">
      <x:c r="A46" s="33"/>
      <x:c r="B46" s="33"/>
      <x:c r="C46" s="33"/>
      <x:c r="D46" s="33"/>
      <x:c r="E46" s="33"/>
      <x:c r="F46" s="33"/>
    </x:row>
    <x:row r="47">
      <x:c r="A47" s="33"/>
      <x:c r="B47" s="33"/>
      <x:c r="C47" s="33"/>
      <x:c r="D47" s="33"/>
      <x:c r="E47" s="33"/>
      <x:c r="F47" s="33"/>
    </x:row>
    <x:row r="48">
      <x:c r="A48" s="33"/>
      <x:c r="B48" s="33"/>
      <x:c r="C48" s="33"/>
      <x:c r="D48" s="33"/>
      <x:c r="E48" s="33"/>
      <x:c r="F48" s="33"/>
    </x:row>
    <x:row r="49">
      <x:c r="A49" s="33"/>
      <x:c r="B49" s="33"/>
      <x:c r="C49" s="33"/>
      <x:c r="D49" s="33"/>
      <x:c r="E49" s="33"/>
      <x:c r="F49" s="33"/>
    </x:row>
    <x:row r="50">
      <x:c r="A50" s="33"/>
      <x:c r="B50" s="33"/>
      <x:c r="C50" s="33"/>
      <x:c r="D50" s="33"/>
      <x:c r="E50" s="33"/>
      <x:c r="F50" s="33"/>
    </x:row>
    <x:row r="51">
      <x:c r="A51" s="33"/>
      <x:c r="B51" s="33"/>
      <x:c r="C51" s="33"/>
      <x:c r="D51" s="33"/>
      <x:c r="E51" s="33"/>
      <x:c r="F51" s="33"/>
    </x:row>
    <x:row r="52">
      <x:c r="A52" s="33"/>
      <x:c r="B52" s="33"/>
      <x:c r="C52" s="33"/>
      <x:c r="D52" s="33"/>
      <x:c r="E52" s="33"/>
      <x:c r="F52" s="33"/>
    </x:row>
    <x:row r="53">
      <x:c r="A53" s="33"/>
      <x:c r="B53" s="33"/>
      <x:c r="C53" s="33"/>
      <x:c r="D53" s="33"/>
      <x:c r="E53" s="33"/>
      <x:c r="F53" s="33"/>
    </x:row>
    <x:row r="54">
      <x:c r="A54" s="33"/>
      <x:c r="B54" s="33"/>
      <x:c r="C54" s="33"/>
      <x:c r="D54" s="33"/>
      <x:c r="E54" s="33"/>
      <x:c r="F54" s="33"/>
    </x:row>
    <x:row r="55">
      <x:c r="A55" s="33"/>
      <x:c r="B55" s="33"/>
      <x:c r="C55" s="33"/>
      <x:c r="D55" s="33"/>
      <x:c r="E55" s="33"/>
      <x:c r="F55" s="33"/>
    </x:row>
    <x:row r="56">
      <x:c r="A56" s="33"/>
      <x:c r="B56" s="33"/>
      <x:c r="C56" s="33"/>
      <x:c r="D56" s="33"/>
      <x:c r="E56" s="33"/>
      <x:c r="F56" s="33"/>
    </x:row>
    <x:row r="57">
      <x:c r="A57" s="33"/>
      <x:c r="B57" s="33"/>
      <x:c r="C57" s="33"/>
      <x:c r="D57" s="33"/>
      <x:c r="E57" s="33"/>
      <x:c r="F57" s="33"/>
    </x:row>
    <x:row r="58">
      <x:c r="A58" s="33"/>
      <x:c r="B58" s="33"/>
      <x:c r="C58" s="33"/>
      <x:c r="D58" s="33"/>
      <x:c r="E58" s="33"/>
      <x:c r="F58" s="33"/>
    </x:row>
    <x:row r="59">
      <x:c r="A59" s="33"/>
      <x:c r="B59" s="33"/>
      <x:c r="C59" s="33"/>
      <x:c r="D59" s="33"/>
      <x:c r="E59" s="33"/>
      <x:c r="F59" s="33"/>
    </x:row>
    <x:row r="60">
      <x:c r="A60" s="33"/>
      <x:c r="B60" s="33"/>
      <x:c r="C60" s="33"/>
      <x:c r="D60" s="33"/>
      <x:c r="E60" s="33"/>
      <x:c r="F60" s="33"/>
    </x:row>
    <x:row r="61">
      <x:c r="A61" s="33"/>
      <x:c r="B61" s="33"/>
      <x:c r="C61" s="33"/>
      <x:c r="D61" s="33"/>
      <x:c r="E61" s="33"/>
      <x:c r="F61" s="33"/>
    </x:row>
    <x:row r="62">
      <x:c r="A62" s="33"/>
      <x:c r="B62" s="33"/>
      <x:c r="C62" s="33"/>
      <x:c r="D62" s="33"/>
      <x:c r="E62" s="33"/>
      <x:c r="F62" s="33"/>
    </x:row>
    <x:row r="63">
      <x:c r="A63" s="33"/>
      <x:c r="B63" s="33"/>
      <x:c r="C63" s="33"/>
      <x:c r="D63" s="33"/>
      <x:c r="E63" s="33"/>
      <x:c r="F63" s="33"/>
    </x:row>
    <x:row r="64">
      <x:c r="A64" s="33"/>
      <x:c r="B64" s="33"/>
      <x:c r="C64" s="33"/>
      <x:c r="D64" s="33"/>
      <x:c r="E64" s="33"/>
      <x:c r="F64" s="33"/>
    </x:row>
    <x:row r="65">
      <x:c r="A65" s="33"/>
      <x:c r="B65" s="33"/>
      <x:c r="C65" s="33"/>
      <x:c r="D65" s="33"/>
      <x:c r="E65" s="33"/>
      <x:c r="F65" s="33"/>
    </x:row>
    <x:row r="66">
      <x:c r="A66" s="33"/>
      <x:c r="B66" s="33"/>
      <x:c r="C66" s="33"/>
      <x:c r="D66" s="33"/>
      <x:c r="E66" s="33"/>
      <x:c r="F66" s="33"/>
    </x:row>
    <x:row r="67">
      <x:c r="A67" s="33"/>
      <x:c r="B67" s="33"/>
      <x:c r="C67" s="33"/>
      <x:c r="D67" s="33"/>
      <x:c r="E67" s="33"/>
      <x:c r="F67" s="33"/>
    </x:row>
    <x:row r="68">
      <x:c r="A68" s="33"/>
      <x:c r="B68" s="33"/>
      <x:c r="C68" s="33"/>
      <x:c r="D68" s="33"/>
      <x:c r="E68" s="33"/>
      <x:c r="F68" s="33"/>
    </x:row>
    <x:row r="69">
      <x:c r="A69" s="33"/>
      <x:c r="B69" s="33"/>
      <x:c r="C69" s="33"/>
      <x:c r="D69" s="33"/>
      <x:c r="E69" s="33"/>
      <x:c r="F69" s="33"/>
    </x:row>
    <x:row r="70">
      <x:c r="A70" s="33"/>
      <x:c r="B70" s="33"/>
      <x:c r="C70" s="33"/>
      <x:c r="D70" s="33"/>
      <x:c r="E70" s="33"/>
      <x:c r="F70" s="33"/>
    </x:row>
    <x:row r="71">
      <x:c r="A71" s="33"/>
      <x:c r="B71" s="33"/>
      <x:c r="C71" s="33"/>
      <x:c r="D71" s="33"/>
      <x:c r="E71" s="33"/>
      <x:c r="F71" s="33"/>
    </x:row>
    <x:row r="72">
      <x:c r="A72" s="33"/>
      <x:c r="B72" s="33"/>
      <x:c r="C72" s="33"/>
      <x:c r="D72" s="33"/>
      <x:c r="E72" s="33"/>
      <x:c r="F72" s="33"/>
    </x:row>
    <x:row r="73">
      <x:c r="A73" s="33"/>
      <x:c r="B73" s="33"/>
      <x:c r="C73" s="33"/>
      <x:c r="D73" s="33"/>
      <x:c r="E73" s="33"/>
      <x:c r="F73" s="33"/>
    </x:row>
    <x:row r="74">
      <x:c r="A74" s="33"/>
      <x:c r="B74" s="33"/>
      <x:c r="C74" s="33"/>
      <x:c r="D74" s="33"/>
      <x:c r="E74" s="33"/>
      <x:c r="F74" s="33"/>
    </x:row>
    <x:row r="75">
      <x:c r="A75" s="33"/>
      <x:c r="B75" s="33"/>
      <x:c r="C75" s="33"/>
      <x:c r="D75" s="33"/>
      <x:c r="E75" s="33"/>
      <x:c r="F75" s="33"/>
    </x:row>
    <x:row r="76">
      <x:c r="A76" s="33"/>
      <x:c r="B76" s="33"/>
      <x:c r="C76" s="33"/>
      <x:c r="D76" s="33"/>
      <x:c r="E76" s="33"/>
      <x:c r="F76" s="33"/>
    </x:row>
    <x:row r="77">
      <x:c r="A77" s="33"/>
      <x:c r="B77" s="33"/>
      <x:c r="C77" s="33"/>
      <x:c r="D77" s="33"/>
      <x:c r="E77" s="33"/>
      <x:c r="F77" s="33"/>
    </x:row>
    <x:row r="78">
      <x:c r="A78" s="33"/>
      <x:c r="B78" s="33"/>
      <x:c r="C78" s="33"/>
      <x:c r="D78" s="33"/>
      <x:c r="E78" s="33"/>
      <x:c r="F78" s="33"/>
    </x:row>
    <x:row r="79">
      <x:c r="A79" s="33"/>
      <x:c r="B79" s="33"/>
      <x:c r="C79" s="33"/>
      <x:c r="D79" s="33"/>
      <x:c r="E79" s="33"/>
      <x:c r="F79" s="33"/>
    </x:row>
    <x:row r="80">
      <x:c r="A80" s="33"/>
      <x:c r="B80" s="33"/>
      <x:c r="C80" s="33"/>
      <x:c r="D80" s="33"/>
      <x:c r="E80" s="33"/>
      <x:c r="F80" s="3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5d0e16bc51140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58" hidden="0" customWidth="1"/>
    <x:col min="4" max="4" width="32" hidden="0" customWidth="1"/>
    <x:col min="5" max="5" width="22" hidden="0" customWidth="1"/>
    <x:col min="6" max="6" width="22" hidden="0" customWidth="1"/>
    <x:col min="7" max="7" width="42" hidden="0" customWidth="1"/>
    <x:col min="8" max="8" width="40" hidden="0" customWidth="1"/>
  </x:cols>
  <x:sheetData>
    <x:row r="1" ht="28" customHeight="1">
      <x:c r="A1" s="32" t="str">
        <x:v>Source log</x:v>
      </x:c>
      <x:c r="B1" s="32"/>
      <x:c r="C1" s="32"/>
      <x:c r="D1" s="32"/>
      <x:c r="E1" s="32"/>
      <x:c r="F1" s="32"/>
      <x:c r="G1" s="32"/>
      <x:c r="H1" s="32"/>
    </x:row>
    <x:row r="2" ht="32" customHeight="1">
      <x:c r="A2" s="12" t="str">
        <x:v>URLs are plain text for traceability. Use Source ID / Case ID mapping for review.</x:v>
      </x:c>
      <x:c r="B2" s="12"/>
      <x:c r="C2" s="12"/>
      <x:c r="D2" s="12"/>
      <x:c r="E2" s="12"/>
      <x:c r="F2" s="12"/>
      <x:c r="G2" s="12"/>
      <x:c r="H2" s="1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0" customHeight="1">
      <x:c r="A4" s="20" t="str">
        <x:v>Source ID</x:v>
      </x:c>
      <x:c r="B4" s="20" t="str">
        <x:v>Source title</x:v>
      </x:c>
      <x:c r="C4" s="20" t="str">
        <x:v>Source URL</x:v>
      </x:c>
      <x:c r="D4" s="20" t="str">
        <x:v>Source type</x:v>
      </x:c>
      <x:c r="E4" s="20" t="str">
        <x:v>Date</x:v>
      </x:c>
      <x:c r="F4" s="20" t="str">
        <x:v>Country/region</x:v>
      </x:c>
      <x:c r="G4" s="20" t="str">
        <x:v>Scope / cases used</x:v>
      </x:c>
      <x:c r="H4" s="20" t="str">
        <x:v>Evidence quality note</x:v>
      </x:c>
    </x:row>
    <x:row r="5">
      <x:c r="A5" s="28" t="str">
        <x:v>S-001</x:v>
      </x:c>
      <x:c r="B5" s="28" t="str">
        <x:v>Improving Diagnosis in Health Care</x:v>
      </x:c>
      <x:c r="C5" s="28" t="str">
        <x:v>https://psnet.ahrq.gov/issue/improving-diagnosis-health-care</x:v>
      </x:c>
      <x:c r="D5" s="28" t="str">
        <x:v>National Academies report summary via AHRQ PSNet</x:v>
      </x:c>
      <x:c r="E5" s="28" t="str">
        <x:v>2015 report; accessed 2026-05-30</x:v>
      </x:c>
      <x:c r="F5" s="28" t="str">
        <x:v>United States</x:v>
      </x:c>
      <x:c r="G5" s="28" t="str">
        <x:v>Background context on diagnostic error burden</x:v>
      </x:c>
      <x:c r="H5" s="28" t="str">
        <x:v>High: national consensus report summary</x:v>
      </x:c>
    </x:row>
    <x:row r="6">
      <x:c r="A6" s="28" t="str">
        <x:v>S-002</x:v>
      </x:c>
      <x:c r="B6" s="28" t="str">
        <x:v>The frequency of diagnostic errors in outpatient care</x:v>
      </x:c>
      <x:c r="C6" s="28" t="str">
        <x:v>https://qualitysafety.bmj.com/content/23/9/727</x:v>
      </x:c>
      <x:c r="D6" s="28" t="str">
        <x:v>Peer-reviewed BMJ Quality &amp; Safety study</x:v>
      </x:c>
      <x:c r="E6" s="28" t="str">
        <x:v>2014</x:v>
      </x:c>
      <x:c r="F6" s="28" t="str">
        <x:v>United States</x:v>
      </x:c>
      <x:c r="G6" s="28" t="str">
        <x:v>Background estimate of outpatient diagnostic error</x:v>
      </x:c>
      <x:c r="H6" s="28" t="str">
        <x:v>High: peer-reviewed empirical estimate</x:v>
      </x:c>
    </x:row>
    <x:row r="7">
      <x:c r="A7" s="28" t="str">
        <x:v>S-003</x:v>
      </x:c>
      <x:c r="B7" s="28" t="str">
        <x:v>AHRQ PSNet WebM&amp;M case analyses</x:v>
      </x:c>
      <x:c r="C7" s="28" t="str">
        <x:v>https://psnet.ahrq.gov/web-mm</x:v>
      </x:c>
      <x:c r="D7" s="28" t="str">
        <x:v>Federal patient-safety case analyses</x:v>
      </x:c>
      <x:c r="E7" s="28" t="str">
        <x:v>2003-2024</x:v>
      </x:c>
      <x:c r="F7" s="28" t="str">
        <x:v>United States</x:v>
      </x:c>
      <x:c r="G7" s="28" t="str">
        <x:v>Cases B-001 through B-017</x:v>
      </x:c>
      <x:c r="H7" s="28" t="str">
        <x:v>High/medium: expert case analyses; anonymous cases</x:v>
      </x:c>
    </x:row>
    <x:row r="8">
      <x:c r="A8" s="28" t="str">
        <x:v>S-004</x:v>
      </x:c>
      <x:c r="B8" s="28" t="str">
        <x:v>Betsy Lehman Center diagnostic-error case studies</x:v>
      </x:c>
      <x:c r="C8" s="28" t="str">
        <x:v>https://betsylehmancenterma.gov/best-practices/diagnostic-error/case-studies</x:v>
      </x:c>
      <x:c r="D8" s="28" t="str">
        <x:v>State patient-safety center case catalog</x:v>
      </x:c>
      <x:c r="E8" s="28" t="str">
        <x:v>Accessed 2026-05-30</x:v>
      </x:c>
      <x:c r="F8" s="28" t="str">
        <x:v>United States</x:v>
      </x:c>
      <x:c r="G8" s="28" t="str">
        <x:v>Cases B-029 through B-032</x:v>
      </x:c>
      <x:c r="H8" s="28" t="str">
        <x:v>Medium: curated case summaries</x:v>
      </x:c>
    </x:row>
    <x:row r="9">
      <x:c r="A9" s="28" t="str">
        <x:v>S-005</x:v>
      </x:c>
      <x:c r="B9" s="28" t="str">
        <x:v>HSSIB radiology follow-up investigation</x:v>
      </x:c>
      <x:c r="C9" s="28" t="str">
        <x:v>https://www.hssib.org.uk/patient-safety-investigations/failures-in-communication-or-follow-up-of-unexpected-significant-radiological-findings/investigation-report/</x:v>
      </x:c>
      <x:c r="D9" s="28" t="str">
        <x:v>National patient-safety investigation</x:v>
      </x:c>
      <x:c r="E9" s="28" t="str">
        <x:v>2022-10-21</x:v>
      </x:c>
      <x:c r="F9" s="28" t="str">
        <x:v>England / United Kingdom</x:v>
      </x:c>
      <x:c r="G9" s="28" t="str">
        <x:v>Case B-018</x:v>
      </x:c>
      <x:c r="H9" s="28" t="str">
        <x:v>High: official safety investigation</x:v>
      </x:c>
    </x:row>
    <x:row r="10">
      <x:c r="A10" s="28" t="str">
        <x:v>S-006</x:v>
      </x:c>
      <x:c r="B10" s="28" t="str">
        <x:v>Woman diagnosed with terminal cervical cancer after NHS missed smear tests</x:v>
      </x:c>
      <x:c r="C10" s="28" t="str">
        <x:v>https://www.independent.co.uk/news/health/cervical-cancer-screens-misdiagnosis-nhs-b2563898.html</x:v>
      </x:c>
      <x:c r="D10" s="28" t="str">
        <x:v>News report with trust/legal statements</x:v>
      </x:c>
      <x:c r="E10" s="28" t="str">
        <x:v>2024; accessed 2026-05-30</x:v>
      </x:c>
      <x:c r="F10" s="28" t="str">
        <x:v>England / United Kingdom</x:v>
      </x:c>
      <x:c r="G10" s="28" t="str">
        <x:v>Case B-019</x:v>
      </x:c>
      <x:c r="H10" s="28" t="str">
        <x:v>Medium: public reporting with institutional response</x:v>
      </x:c>
    </x:row>
    <x:row r="11">
      <x:c r="A11" s="28" t="str">
        <x:v>S-007</x:v>
      </x:c>
      <x:c r="B11" s="28" t="str">
        <x:v>Long covid and medical gaslighting</x:v>
      </x:c>
      <x:c r="C11" s="28" t="str">
        <x:v>https://www.sciencedirect.com/science/article/pii/S2667321522001299</x:v>
      </x:c>
      <x:c r="D11" s="28" t="str">
        <x:v>Peer-reviewed qualitative survey</x:v>
      </x:c>
      <x:c r="E11" s="28" t="str">
        <x:v>2022</x:v>
      </x:c>
      <x:c r="F11" s="28" t="str">
        <x:v>United States</x:v>
      </x:c>
      <x:c r="G11" s="28" t="str">
        <x:v>Case/pattern B-020</x:v>
      </x:c>
      <x:c r="H11" s="28" t="str">
        <x:v>Medium: patient survey; not a single verified chart case</x:v>
      </x:c>
    </x:row>
    <x:row r="12">
      <x:c r="A12" s="28" t="str">
        <x:v>S-008</x:v>
      </x:c>
      <x:c r="B12" s="28" t="str">
        <x:v>Dysautonomia International POTS Patient Survey</x:v>
      </x:c>
      <x:c r="C12" s="28" t="str">
        <x:v>https://www.dysautonomiainternational.org/page.php?ID=184</x:v>
      </x:c>
      <x:c r="D12" s="28" t="str">
        <x:v>Advocacy patient survey</x:v>
      </x:c>
      <x:c r="E12" s="28" t="str">
        <x:v>2013 survey; accessed 2026-05-30</x:v>
      </x:c>
      <x:c r="F12" s="28" t="str">
        <x:v>International</x:v>
      </x:c>
      <x:c r="G12" s="28" t="str">
        <x:v>Case/pattern B-021</x:v>
      </x:c>
      <x:c r="H12" s="28" t="str">
        <x:v>Medium: advocacy survey, large patient-reported sample</x:v>
      </x:c>
    </x:row>
    <x:row r="13">
      <x:c r="A13" s="28" t="str">
        <x:v>S-009</x:v>
      </x:c>
      <x:c r="B13" s="28" t="str">
        <x:v>Devon woman with ME inquest report</x:v>
      </x:c>
      <x:c r="C13" s="28" t="str">
        <x:v>https://www.theguardian.com/society/article/2024/jul/22/devon-woman-with-me-asked-gp-to-help-her-get-enough-food-to-live-inquest-hears</x:v>
      </x:c>
      <x:c r="D13" s="28" t="str">
        <x:v>News report of coroner's inquest</x:v>
      </x:c>
      <x:c r="E13" s="28" t="str">
        <x:v>2024-07-22; modified 2025-04-02</x:v>
      </x:c>
      <x:c r="F13" s="28" t="str">
        <x:v>England / United Kingdom</x:v>
      </x:c>
      <x:c r="G13" s="28" t="str">
        <x:v>Case B-022</x:v>
      </x:c>
      <x:c r="H13" s="28" t="str">
        <x:v>Medium: inquest-based journalism</x:v>
      </x:c>
    </x:row>
    <x:row r="14">
      <x:c r="A14" s="28" t="str">
        <x:v>S-010</x:v>
      </x:c>
      <x:c r="B14" s="28" t="str">
        <x:v>Lupus personal essay</x:v>
      </x:c>
      <x:c r="C14" s="28" t="str">
        <x:v>https://www.popsugar.com/health/how-i-got-my-lupus-diagnosis-personal-essay-49345999</x:v>
      </x:c>
      <x:c r="D14" s="28" t="str">
        <x:v>Public patient essay</x:v>
      </x:c>
      <x:c r="E14" s="28" t="str">
        <x:v>2026-05-04</x:v>
      </x:c>
      <x:c r="F14" s="28" t="str">
        <x:v>United States</x:v>
      </x:c>
      <x:c r="G14" s="28" t="str">
        <x:v>Case B-023</x:v>
      </x:c>
      <x:c r="H14" s="28" t="str">
        <x:v>Low: individual public narrative</x:v>
      </x:c>
    </x:row>
    <x:row r="15">
      <x:c r="A15" s="28" t="str">
        <x:v>S-011</x:v>
      </x:c>
      <x:c r="B15" s="28" t="str">
        <x:v>Claire's Story: Gender Bias &amp; the Long Road to Diagnosis</x:v>
      </x:c>
      <x:c r="C15" s="28" t="str">
        <x:v>https://www.autoimmuneinstitute.org/autoimmune_stories/claires-story-gender-bias-the-long-road-to-diagnosis/</x:v>
      </x:c>
      <x:c r="D15" s="28" t="str">
        <x:v>Advocacy patient story</x:v>
      </x:c>
      <x:c r="E15" s="28" t="str">
        <x:v>Accessed 2026-05-30</x:v>
      </x:c>
      <x:c r="F15" s="28" t="str">
        <x:v>United States</x:v>
      </x:c>
      <x:c r="G15" s="28" t="str">
        <x:v>Case B-024</x:v>
      </x:c>
      <x:c r="H15" s="28" t="str">
        <x:v>Low: individual public narrative</x:v>
      </x:c>
    </x:row>
    <x:row r="16">
      <x:c r="A16" s="28" t="str">
        <x:v>S-012</x:v>
      </x:c>
      <x:c r="B16" s="28" t="str">
        <x:v>Pathways to cervical cancer diagnosis among women in Accra, Ghana</x:v>
      </x:c>
      <x:c r="C16" s="28" t="str">
        <x:v>https://doaj.org/article/7ae6f62fe6174a639fc8a63fd8a97cfd</x:v>
      </x:c>
      <x:c r="D16" s="28" t="str">
        <x:v>Peer-reviewed qualitative study listing</x:v>
      </x:c>
      <x:c r="E16" s="28" t="str">
        <x:v>Accessed 2026-05-30</x:v>
      </x:c>
      <x:c r="F16" s="28" t="str">
        <x:v>Ghana</x:v>
      </x:c>
      <x:c r="G16" s="28" t="str">
        <x:v>Case/pattern B-025</x:v>
      </x:c>
      <x:c r="H16" s="28" t="str">
        <x:v>Medium: qualitative study; abstract/page-level extraction</x:v>
      </x:c>
    </x:row>
    <x:row r="17">
      <x:c r="A17" s="28" t="str">
        <x:v>S-013</x:v>
      </x:c>
      <x:c r="B17" s="28" t="str">
        <x:v>Barriers to prompt and effective malaria treatment among children in western Kenya</x:v>
      </x:c>
      <x:c r="C17" s="28" t="str">
        <x:v>https://journals.plos.org/globalpublichealth/article?id=10.1371/journal.pgph.0001532</x:v>
      </x:c>
      <x:c r="D17" s="28" t="str">
        <x:v>Peer-reviewed public-health study</x:v>
      </x:c>
      <x:c r="E17" s="28" t="str">
        <x:v>2023; accessed 2026-05-30</x:v>
      </x:c>
      <x:c r="F17" s="28" t="str">
        <x:v>Kenya</x:v>
      </x:c>
      <x:c r="G17" s="28" t="str">
        <x:v>Case/pattern B-026</x:v>
      </x:c>
      <x:c r="H17" s="28" t="str">
        <x:v>High: peer-reviewed field study</x:v>
      </x:c>
    </x:row>
    <x:row r="18">
      <x:c r="A18" s="28" t="str">
        <x:v>S-014</x:v>
      </x:c>
      <x:c r="B18" s="28" t="str">
        <x:v>Malaria RDT stockouts and readiness in Mozambique</x:v>
      </x:c>
      <x:c r="C18" s="28" t="str">
        <x:v>https://link.springer.com/article/10.1186/1475-2875-13-295</x:v>
      </x:c>
      <x:c r="D18" s="28" t="str">
        <x:v>Peer-reviewed Malaria Journal study</x:v>
      </x:c>
      <x:c r="E18" s="28" t="str">
        <x:v>2014; accessed 2026-05-30</x:v>
      </x:c>
      <x:c r="F18" s="28" t="str">
        <x:v>Mozambique</x:v>
      </x:c>
      <x:c r="G18" s="28" t="str">
        <x:v>Case/pattern B-027</x:v>
      </x:c>
      <x:c r="H18" s="28" t="str">
        <x:v>High: peer-reviewed facility study</x:v>
      </x:c>
    </x:row>
    <x:row r="19">
      <x:c r="A19" s="28" t="str">
        <x:v>S-015</x:v>
      </x:c>
      <x:c r="B19" s="28" t="str">
        <x:v>COVID-19 and Tuberculosis Co-Occurrence and Missed Opportunities</x:v>
      </x:c>
      <x:c r="C19" s="28" t="str">
        <x:v>https://wwwnc.cdc.gov/eid/article/30/1/23-0924_article</x:v>
      </x:c>
      <x:c r="D19" s="28" t="str">
        <x:v>CDC EID peer-reviewed article</x:v>
      </x:c>
      <x:c r="E19" s="28" t="str">
        <x:v>2024-01</x:v>
      </x:c>
      <x:c r="F19" s="28" t="str">
        <x:v>California, United States</x:v>
      </x:c>
      <x:c r="G19" s="28" t="str">
        <x:v>Case/pattern B-028</x:v>
      </x:c>
      <x:c r="H19" s="28" t="str">
        <x:v>High: public-health investigation</x:v>
      </x:c>
    </x:row>
    <x:row r="20">
      <x:c r="A20" s="33"/>
      <x:c r="B20" s="33"/>
      <x:c r="C20" s="33"/>
      <x:c r="D20" s="33"/>
      <x:c r="E20" s="33"/>
      <x:c r="F20" s="33"/>
      <x:c r="G20" s="33"/>
      <x:c r="H20" s="33"/>
    </x:row>
    <x:row r="21">
      <x:c r="A21" s="33"/>
      <x:c r="B21" s="33"/>
      <x:c r="C21" s="33"/>
      <x:c r="D21" s="33"/>
      <x:c r="E21" s="33"/>
      <x:c r="F21" s="33"/>
      <x:c r="G21" s="33"/>
      <x:c r="H21" s="33"/>
    </x:row>
    <x:row r="22">
      <x:c r="A22" s="33"/>
      <x:c r="B22" s="33"/>
      <x:c r="C22" s="33"/>
      <x:c r="D22" s="33"/>
      <x:c r="E22" s="33"/>
      <x:c r="F22" s="33"/>
      <x:c r="G22" s="33"/>
      <x:c r="H22" s="33"/>
    </x:row>
    <x:row r="23">
      <x:c r="A23" s="33"/>
      <x:c r="B23" s="33"/>
      <x:c r="C23" s="33"/>
      <x:c r="D23" s="33"/>
      <x:c r="E23" s="33"/>
      <x:c r="F23" s="33"/>
      <x:c r="G23" s="33"/>
      <x:c r="H23" s="33"/>
    </x:row>
    <x:row r="24">
      <x:c r="A24" s="33"/>
      <x:c r="B24" s="33"/>
      <x:c r="C24" s="33"/>
      <x:c r="D24" s="33"/>
      <x:c r="E24" s="33"/>
      <x:c r="F24" s="33"/>
      <x:c r="G24" s="33"/>
      <x:c r="H24" s="33"/>
    </x:row>
    <x:row r="25">
      <x:c r="A25" s="33"/>
      <x:c r="B25" s="33"/>
      <x:c r="C25" s="33"/>
      <x:c r="D25" s="33"/>
      <x:c r="E25" s="33"/>
      <x:c r="F25" s="33"/>
      <x:c r="G25" s="33"/>
      <x:c r="H25" s="33"/>
    </x:row>
    <x:row r="26">
      <x:c r="A26" s="33"/>
      <x:c r="B26" s="33"/>
      <x:c r="C26" s="33"/>
      <x:c r="D26" s="33"/>
      <x:c r="E26" s="33"/>
      <x:c r="F26" s="33"/>
      <x:c r="G26" s="33"/>
      <x:c r="H26" s="33"/>
    </x:row>
    <x:row r="27">
      <x:c r="A27" s="33"/>
      <x:c r="B27" s="33"/>
      <x:c r="C27" s="33"/>
      <x:c r="D27" s="33"/>
      <x:c r="E27" s="33"/>
      <x:c r="F27" s="33"/>
      <x:c r="G27" s="33"/>
      <x:c r="H27" s="33"/>
    </x:row>
    <x:row r="28">
      <x:c r="A28" s="33"/>
      <x:c r="B28" s="33"/>
      <x:c r="C28" s="33"/>
      <x:c r="D28" s="33"/>
      <x:c r="E28" s="33"/>
      <x:c r="F28" s="33"/>
      <x:c r="G28" s="33"/>
      <x:c r="H28" s="33"/>
    </x:row>
    <x:row r="29">
      <x:c r="A29" s="33"/>
      <x:c r="B29" s="33"/>
      <x:c r="C29" s="33"/>
      <x:c r="D29" s="33"/>
      <x:c r="E29" s="33"/>
      <x:c r="F29" s="33"/>
      <x:c r="G29" s="33"/>
      <x:c r="H29" s="33"/>
    </x:row>
    <x:row r="30">
      <x:c r="A30" s="33"/>
      <x:c r="B30" s="33"/>
      <x:c r="C30" s="33"/>
      <x:c r="D30" s="33"/>
      <x:c r="E30" s="33"/>
      <x:c r="F30" s="33"/>
      <x:c r="G30" s="33"/>
      <x:c r="H30" s="33"/>
    </x:row>
    <x:row r="31">
      <x:c r="A31" s="33"/>
      <x:c r="B31" s="33"/>
      <x:c r="C31" s="33"/>
      <x:c r="D31" s="33"/>
      <x:c r="E31" s="33"/>
      <x:c r="F31" s="33"/>
      <x:c r="G31" s="33"/>
      <x:c r="H31" s="33"/>
    </x:row>
    <x:row r="32">
      <x:c r="A32" s="33"/>
      <x:c r="B32" s="33"/>
      <x:c r="C32" s="33"/>
      <x:c r="D32" s="33"/>
      <x:c r="E32" s="33"/>
      <x:c r="F32" s="33"/>
      <x:c r="G32" s="33"/>
      <x:c r="H32" s="33"/>
    </x:row>
    <x:row r="33">
      <x:c r="A33" s="33"/>
      <x:c r="B33" s="33"/>
      <x:c r="C33" s="33"/>
      <x:c r="D33" s="33"/>
      <x:c r="E33" s="33"/>
      <x:c r="F33" s="33"/>
      <x:c r="G33" s="33"/>
      <x:c r="H33" s="33"/>
    </x:row>
    <x:row r="34">
      <x:c r="A34" s="33"/>
      <x:c r="B34" s="33"/>
      <x:c r="C34" s="33"/>
      <x:c r="D34" s="33"/>
      <x:c r="E34" s="33"/>
      <x:c r="F34" s="33"/>
      <x:c r="G34" s="33"/>
      <x:c r="H34" s="33"/>
    </x:row>
    <x:row r="35">
      <x:c r="A35" s="33"/>
      <x:c r="B35" s="33"/>
      <x:c r="C35" s="33"/>
      <x:c r="D35" s="33"/>
      <x:c r="E35" s="33"/>
      <x:c r="F35" s="33"/>
      <x:c r="G35" s="33"/>
      <x:c r="H35" s="33"/>
    </x:row>
    <x:row r="36">
      <x:c r="A36" s="33"/>
      <x:c r="B36" s="33"/>
      <x:c r="C36" s="33"/>
      <x:c r="D36" s="33"/>
      <x:c r="E36" s="33"/>
      <x:c r="F36" s="33"/>
      <x:c r="G36" s="33"/>
      <x:c r="H36" s="33"/>
    </x:row>
    <x:row r="37">
      <x:c r="A37" s="33"/>
      <x:c r="B37" s="33"/>
      <x:c r="C37" s="33"/>
      <x:c r="D37" s="33"/>
      <x:c r="E37" s="33"/>
      <x:c r="F37" s="33"/>
      <x:c r="G37" s="33"/>
      <x:c r="H37" s="33"/>
    </x:row>
    <x:row r="38">
      <x:c r="A38" s="33"/>
      <x:c r="B38" s="33"/>
      <x:c r="C38" s="33"/>
      <x:c r="D38" s="33"/>
      <x:c r="E38" s="33"/>
      <x:c r="F38" s="33"/>
      <x:c r="G38" s="33"/>
      <x:c r="H38" s="33"/>
    </x:row>
    <x:row r="39">
      <x:c r="A39" s="33"/>
      <x:c r="B39" s="33"/>
      <x:c r="C39" s="33"/>
      <x:c r="D39" s="33"/>
      <x:c r="E39" s="33"/>
      <x:c r="F39" s="33"/>
      <x:c r="G39" s="33"/>
      <x:c r="H39" s="33"/>
    </x:row>
    <x:row r="40">
      <x:c r="A40" s="33"/>
      <x:c r="B40" s="33"/>
      <x:c r="C40" s="33"/>
      <x:c r="D40" s="33"/>
      <x:c r="E40" s="33"/>
      <x:c r="F40" s="33"/>
      <x:c r="G40" s="33"/>
      <x:c r="H40" s="33"/>
    </x:row>
    <x:row r="41">
      <x:c r="A41" s="33"/>
      <x:c r="B41" s="33"/>
      <x:c r="C41" s="33"/>
      <x:c r="D41" s="33"/>
      <x:c r="E41" s="33"/>
      <x:c r="F41" s="33"/>
      <x:c r="G41" s="33"/>
      <x:c r="H41" s="33"/>
    </x:row>
    <x:row r="42">
      <x:c r="A42" s="33"/>
      <x:c r="B42" s="33"/>
      <x:c r="C42" s="33"/>
      <x:c r="D42" s="33"/>
      <x:c r="E42" s="33"/>
      <x:c r="F42" s="33"/>
      <x:c r="G42" s="33"/>
      <x:c r="H42" s="33"/>
    </x:row>
    <x:row r="43">
      <x:c r="A43" s="33"/>
      <x:c r="B43" s="33"/>
      <x:c r="C43" s="33"/>
      <x:c r="D43" s="33"/>
      <x:c r="E43" s="33"/>
      <x:c r="F43" s="33"/>
      <x:c r="G43" s="33"/>
      <x:c r="H43" s="33"/>
    </x:row>
    <x:row r="44">
      <x:c r="A44" s="33"/>
      <x:c r="B44" s="33"/>
      <x:c r="C44" s="33"/>
      <x:c r="D44" s="33"/>
      <x:c r="E44" s="33"/>
      <x:c r="F44" s="33"/>
      <x:c r="G44" s="33"/>
      <x:c r="H44" s="33"/>
    </x:row>
    <x:row r="45">
      <x:c r="A45" s="33"/>
      <x:c r="B45" s="33"/>
      <x:c r="C45" s="33"/>
      <x:c r="D45" s="33"/>
      <x:c r="E45" s="33"/>
      <x:c r="F45" s="33"/>
      <x:c r="G45" s="33"/>
      <x:c r="H45" s="33"/>
    </x:row>
    <x:row r="46">
      <x:c r="A46" s="33"/>
      <x:c r="B46" s="33"/>
      <x:c r="C46" s="33"/>
      <x:c r="D46" s="33"/>
      <x:c r="E46" s="33"/>
      <x:c r="F46" s="33"/>
      <x:c r="G46" s="33"/>
      <x:c r="H46" s="33"/>
    </x:row>
    <x:row r="47">
      <x:c r="A47" s="33"/>
      <x:c r="B47" s="33"/>
      <x:c r="C47" s="33"/>
      <x:c r="D47" s="33"/>
      <x:c r="E47" s="33"/>
      <x:c r="F47" s="33"/>
      <x:c r="G47" s="33"/>
      <x:c r="H47" s="33"/>
    </x:row>
    <x:row r="48">
      <x:c r="A48" s="33"/>
      <x:c r="B48" s="33"/>
      <x:c r="C48" s="33"/>
      <x:c r="D48" s="33"/>
      <x:c r="E48" s="33"/>
      <x:c r="F48" s="33"/>
      <x:c r="G48" s="33"/>
      <x:c r="H48" s="33"/>
    </x:row>
    <x:row r="49">
      <x:c r="A49" s="33"/>
      <x:c r="B49" s="33"/>
      <x:c r="C49" s="33"/>
      <x:c r="D49" s="33"/>
      <x:c r="E49" s="33"/>
      <x:c r="F49" s="33"/>
      <x:c r="G49" s="33"/>
      <x:c r="H49" s="33"/>
    </x:row>
    <x:row r="50">
      <x:c r="A50" s="33"/>
      <x:c r="B50" s="33"/>
      <x:c r="C50" s="33"/>
      <x:c r="D50" s="33"/>
      <x:c r="E50" s="33"/>
      <x:c r="F50" s="33"/>
      <x:c r="G50" s="33"/>
      <x:c r="H50" s="33"/>
    </x:row>
    <x:row r="51">
      <x:c r="A51" s="33"/>
      <x:c r="B51" s="33"/>
      <x:c r="C51" s="33"/>
      <x:c r="D51" s="33"/>
      <x:c r="E51" s="33"/>
      <x:c r="F51" s="33"/>
      <x:c r="G51" s="33"/>
      <x:c r="H51" s="33"/>
    </x:row>
    <x:row r="52">
      <x:c r="A52" s="33"/>
      <x:c r="B52" s="33"/>
      <x:c r="C52" s="33"/>
      <x:c r="D52" s="33"/>
      <x:c r="E52" s="33"/>
      <x:c r="F52" s="33"/>
      <x:c r="G52" s="33"/>
      <x:c r="H52" s="33"/>
    </x:row>
    <x:row r="53">
      <x:c r="A53" s="33"/>
      <x:c r="B53" s="33"/>
      <x:c r="C53" s="33"/>
      <x:c r="D53" s="33"/>
      <x:c r="E53" s="33"/>
      <x:c r="F53" s="33"/>
      <x:c r="G53" s="33"/>
      <x:c r="H53" s="33"/>
    </x:row>
    <x:row r="54">
      <x:c r="A54" s="33"/>
      <x:c r="B54" s="33"/>
      <x:c r="C54" s="33"/>
      <x:c r="D54" s="33"/>
      <x:c r="E54" s="33"/>
      <x:c r="F54" s="33"/>
      <x:c r="G54" s="33"/>
      <x:c r="H54" s="33"/>
    </x:row>
    <x:row r="55">
      <x:c r="A55" s="33"/>
      <x:c r="B55" s="33"/>
      <x:c r="C55" s="33"/>
      <x:c r="D55" s="33"/>
      <x:c r="E55" s="33"/>
      <x:c r="F55" s="33"/>
      <x:c r="G55" s="33"/>
      <x:c r="H55" s="33"/>
    </x:row>
    <x:row r="56">
      <x:c r="A56" s="33"/>
      <x:c r="B56" s="33"/>
      <x:c r="C56" s="33"/>
      <x:c r="D56" s="33"/>
      <x:c r="E56" s="33"/>
      <x:c r="F56" s="33"/>
      <x:c r="G56" s="33"/>
      <x:c r="H56" s="33"/>
    </x:row>
    <x:row r="57">
      <x:c r="A57" s="33"/>
      <x:c r="B57" s="33"/>
      <x:c r="C57" s="33"/>
      <x:c r="D57" s="33"/>
      <x:c r="E57" s="33"/>
      <x:c r="F57" s="33"/>
      <x:c r="G57" s="33"/>
      <x:c r="H57" s="33"/>
    </x:row>
    <x:row r="58">
      <x:c r="A58" s="33"/>
      <x:c r="B58" s="33"/>
      <x:c r="C58" s="33"/>
      <x:c r="D58" s="33"/>
      <x:c r="E58" s="33"/>
      <x:c r="F58" s="33"/>
      <x:c r="G58" s="33"/>
      <x:c r="H58" s="33"/>
    </x:row>
    <x:row r="59">
      <x:c r="A59" s="33"/>
      <x:c r="B59" s="33"/>
      <x:c r="C59" s="33"/>
      <x:c r="D59" s="33"/>
      <x:c r="E59" s="33"/>
      <x:c r="F59" s="33"/>
      <x:c r="G59" s="33"/>
      <x:c r="H59" s="33"/>
    </x:row>
    <x:row r="60">
      <x:c r="A60" s="33"/>
      <x:c r="B60" s="33"/>
      <x:c r="C60" s="33"/>
      <x:c r="D60" s="33"/>
      <x:c r="E60" s="33"/>
      <x:c r="F60" s="33"/>
      <x:c r="G60" s="33"/>
      <x:c r="H60" s="33"/>
    </x:row>
    <x:row r="61">
      <x:c r="A61" s="33"/>
      <x:c r="B61" s="33"/>
      <x:c r="C61" s="33"/>
      <x:c r="D61" s="33"/>
      <x:c r="E61" s="33"/>
      <x:c r="F61" s="33"/>
      <x:c r="G61" s="33"/>
      <x:c r="H61" s="33"/>
    </x:row>
    <x:row r="62">
      <x:c r="A62" s="33"/>
      <x:c r="B62" s="33"/>
      <x:c r="C62" s="33"/>
      <x:c r="D62" s="33"/>
      <x:c r="E62" s="33"/>
      <x:c r="F62" s="33"/>
      <x:c r="G62" s="33"/>
      <x:c r="H62" s="33"/>
    </x:row>
    <x:row r="63">
      <x:c r="A63" s="33"/>
      <x:c r="B63" s="33"/>
      <x:c r="C63" s="33"/>
      <x:c r="D63" s="33"/>
      <x:c r="E63" s="33"/>
      <x:c r="F63" s="33"/>
      <x:c r="G63" s="33"/>
      <x:c r="H63" s="33"/>
    </x:row>
    <x:row r="64">
      <x:c r="A64" s="33"/>
      <x:c r="B64" s="33"/>
      <x:c r="C64" s="33"/>
      <x:c r="D64" s="33"/>
      <x:c r="E64" s="33"/>
      <x:c r="F64" s="33"/>
      <x:c r="G64" s="33"/>
      <x:c r="H64" s="33"/>
    </x:row>
    <x:row r="65">
      <x:c r="A65" s="33"/>
      <x:c r="B65" s="33"/>
      <x:c r="C65" s="33"/>
      <x:c r="D65" s="33"/>
      <x:c r="E65" s="33"/>
      <x:c r="F65" s="33"/>
      <x:c r="G65" s="33"/>
      <x:c r="H65" s="33"/>
    </x:row>
    <x:row r="66">
      <x:c r="A66" s="33"/>
      <x:c r="B66" s="33"/>
      <x:c r="C66" s="33"/>
      <x:c r="D66" s="33"/>
      <x:c r="E66" s="33"/>
      <x:c r="F66" s="33"/>
      <x:c r="G66" s="33"/>
      <x:c r="H66" s="33"/>
    </x:row>
    <x:row r="67">
      <x:c r="A67" s="33"/>
      <x:c r="B67" s="33"/>
      <x:c r="C67" s="33"/>
      <x:c r="D67" s="33"/>
      <x:c r="E67" s="33"/>
      <x:c r="F67" s="33"/>
      <x:c r="G67" s="33"/>
      <x:c r="H67" s="33"/>
    </x:row>
    <x:row r="68">
      <x:c r="A68" s="33"/>
      <x:c r="B68" s="33"/>
      <x:c r="C68" s="33"/>
      <x:c r="D68" s="33"/>
      <x:c r="E68" s="33"/>
      <x:c r="F68" s="33"/>
      <x:c r="G68" s="33"/>
      <x:c r="H68" s="33"/>
    </x:row>
    <x:row r="69">
      <x:c r="A69" s="33"/>
      <x:c r="B69" s="33"/>
      <x:c r="C69" s="33"/>
      <x:c r="D69" s="33"/>
      <x:c r="E69" s="33"/>
      <x:c r="F69" s="33"/>
      <x:c r="G69" s="33"/>
      <x:c r="H69" s="33"/>
    </x:row>
    <x:row r="70">
      <x:c r="A70" s="33"/>
      <x:c r="B70" s="33"/>
      <x:c r="C70" s="33"/>
      <x:c r="D70" s="33"/>
      <x:c r="E70" s="33"/>
      <x:c r="F70" s="33"/>
      <x:c r="G70" s="33"/>
      <x:c r="H70" s="33"/>
    </x:row>
    <x:row r="71">
      <x:c r="A71" s="33"/>
      <x:c r="B71" s="33"/>
      <x:c r="C71" s="33"/>
      <x:c r="D71" s="33"/>
      <x:c r="E71" s="33"/>
      <x:c r="F71" s="33"/>
      <x:c r="G71" s="33"/>
      <x:c r="H71" s="33"/>
    </x:row>
    <x:row r="72">
      <x:c r="A72" s="33"/>
      <x:c r="B72" s="33"/>
      <x:c r="C72" s="33"/>
      <x:c r="D72" s="33"/>
      <x:c r="E72" s="33"/>
      <x:c r="F72" s="33"/>
      <x:c r="G72" s="33"/>
      <x:c r="H72" s="33"/>
    </x:row>
    <x:row r="73">
      <x:c r="A73" s="33"/>
      <x:c r="B73" s="33"/>
      <x:c r="C73" s="33"/>
      <x:c r="D73" s="33"/>
      <x:c r="E73" s="33"/>
      <x:c r="F73" s="33"/>
      <x:c r="G73" s="33"/>
      <x:c r="H73" s="33"/>
    </x:row>
    <x:row r="74">
      <x:c r="A74" s="33"/>
      <x:c r="B74" s="33"/>
      <x:c r="C74" s="33"/>
      <x:c r="D74" s="33"/>
      <x:c r="E74" s="33"/>
      <x:c r="F74" s="33"/>
      <x:c r="G74" s="33"/>
      <x:c r="H74" s="33"/>
    </x:row>
    <x:row r="75">
      <x:c r="A75" s="33"/>
      <x:c r="B75" s="33"/>
      <x:c r="C75" s="33"/>
      <x:c r="D75" s="33"/>
      <x:c r="E75" s="33"/>
      <x:c r="F75" s="33"/>
      <x:c r="G75" s="33"/>
      <x:c r="H75" s="33"/>
    </x:row>
    <x:row r="76">
      <x:c r="A76" s="33"/>
      <x:c r="B76" s="33"/>
      <x:c r="C76" s="33"/>
      <x:c r="D76" s="33"/>
      <x:c r="E76" s="33"/>
      <x:c r="F76" s="33"/>
      <x:c r="G76" s="33"/>
      <x:c r="H76" s="33"/>
    </x:row>
    <x:row r="77">
      <x:c r="A77" s="33"/>
      <x:c r="B77" s="33"/>
      <x:c r="C77" s="33"/>
      <x:c r="D77" s="33"/>
      <x:c r="E77" s="33"/>
      <x:c r="F77" s="33"/>
      <x:c r="G77" s="33"/>
      <x:c r="H77" s="33"/>
    </x:row>
    <x:row r="78">
      <x:c r="A78" s="33"/>
      <x:c r="B78" s="33"/>
      <x:c r="C78" s="33"/>
      <x:c r="D78" s="33"/>
      <x:c r="E78" s="33"/>
      <x:c r="F78" s="33"/>
      <x:c r="G78" s="33"/>
      <x:c r="H78" s="33"/>
    </x:row>
    <x:row r="79">
      <x:c r="A79" s="33"/>
      <x:c r="B79" s="33"/>
      <x:c r="C79" s="33"/>
      <x:c r="D79" s="33"/>
      <x:c r="E79" s="33"/>
      <x:c r="F79" s="33"/>
      <x:c r="G79" s="33"/>
      <x:c r="H79" s="33"/>
    </x:row>
    <x:row r="80">
      <x:c r="A80" s="33"/>
      <x:c r="B80" s="33"/>
      <x:c r="C80" s="33"/>
      <x:c r="D80" s="33"/>
      <x:c r="E80" s="33"/>
      <x:c r="F80" s="33"/>
      <x:c r="G80" s="33"/>
      <x:c r="H80" s="3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a3b53caf92444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58" hidden="0" customWidth="1"/>
    <x:col min="5" max="5" width="58" hidden="0" customWidth="1"/>
  </x:cols>
  <x:sheetData>
    <x:row r="1" ht="28" customHeight="1">
      <x:c r="A1" s="32" t="str">
        <x:v>Short public quotes and patient/clinician voice</x:v>
      </x:c>
      <x:c r="B1" s="32"/>
      <x:c r="C1" s="32"/>
      <x:c r="D1" s="32"/>
      <x:c r="E1" s="32"/>
    </x:row>
    <x:row r="2" ht="32" customHeight="1">
      <x:c r="A2" s="12" t="str">
        <x:v>Quotes are intentionally short and only from public sources or source summaries.</x:v>
      </x:c>
      <x:c r="B2" s="12"/>
      <x:c r="C2" s="12"/>
      <x:c r="D2" s="12"/>
      <x:c r="E2" s="12"/>
    </x:row>
    <x:row r="3">
      <x:c r="A3" s="33"/>
      <x:c r="B3" s="33"/>
      <x:c r="C3" s="33"/>
      <x:c r="D3" s="33"/>
      <x:c r="E3" s="33"/>
    </x:row>
    <x:row r="4" ht="30" customHeight="1">
      <x:c r="A4" s="20" t="str">
        <x:v>Case ID</x:v>
      </x:c>
      <x:c r="B4" s="20" t="str">
        <x:v>Quote type</x:v>
      </x:c>
      <x:c r="C4" s="20" t="str">
        <x:v>Short quote / public phrase</x:v>
      </x:c>
      <x:c r="D4" s="20" t="str">
        <x:v>Context</x:v>
      </x:c>
      <x:c r="E4" s="20" t="str">
        <x:v>Source URL</x:v>
      </x:c>
    </x:row>
    <x:row r="5">
      <x:c r="A5" s="28" t="str">
        <x:v>B-002</x:v>
      </x:c>
      <x:c r="B5" s="28" t="str">
        <x:v>Patient voice</x:v>
      </x:c>
      <x:c r="C5" s="28" t="str">
        <x:v>'she was crazy'</x:v>
      </x:c>
      <x:c r="D5" s="28" t="str">
        <x:v>Source describes how patient felt after symptoms were treated as psychological.</x:v>
      </x:c>
      <x:c r="E5" s="28" t="str">
        <x:v>https://psnet.ahrq.gov/web-mm/endometriosis-common-and-commonly-missed-and-delayed-diagnosis</x:v>
      </x:c>
    </x:row>
    <x:row r="6">
      <x:c r="A6" s="28" t="str">
        <x:v>B-005</x:v>
      </x:c>
      <x:c r="B6" s="28" t="str">
        <x:v>Patient voice</x:v>
      </x:c>
      <x:c r="C6" s="28" t="str">
        <x:v>dismissive / berating</x:v>
      </x:c>
      <x:c r="D6" s="28" t="str">
        <x:v>Source describes patient perception of urology encounter.</x:v>
      </x:c>
      <x:c r="E6" s="28" t="str">
        <x:v>https://psnet.ahrq.gov/web-mm/renal-failure-due-benign-prostatic-hyperplasia</x:v>
      </x:c>
    </x:row>
    <x:row r="7">
      <x:c r="A7" s="28" t="str">
        <x:v>B-019</x:v>
      </x:c>
      <x:c r="B7" s="28" t="str">
        <x:v>Patient voice</x:v>
      </x:c>
      <x:c r="C7" s="28" t="str">
        <x:v>'trust their instincts'</x:v>
      </x:c>
      <x:c r="D7" s="28" t="str">
        <x:v>Public article reports patient's warning to others after cervical cancer diagnosis.</x:v>
      </x:c>
      <x:c r="E7" s="28" t="str">
        <x:v>https://www.independent.co.uk/news/health/cervical-cancer-screens-misdiagnosis-nhs-b2563898.html</x:v>
      </x:c>
    </x:row>
    <x:row r="8">
      <x:c r="A8" s="28" t="str">
        <x:v>B-021</x:v>
      </x:c>
      <x:c r="B8" s="28" t="str">
        <x:v>Patient voice</x:v>
      </x:c>
      <x:c r="C8" s="28" t="str">
        <x:v>'all in your head'</x:v>
      </x:c>
      <x:c r="D8" s="28" t="str">
        <x:v>Advocacy survey reports this phrase was commonly told to POTS patients.</x:v>
      </x:c>
      <x:c r="E8" s="28" t="str">
        <x:v>https://www.dysautonomiainternational.org/page.php?ID=184</x:v>
      </x:c>
    </x:row>
    <x:row r="9">
      <x:c r="A9" s="28" t="str">
        <x:v>B-022</x:v>
      </x:c>
      <x:c r="B9" s="28" t="str">
        <x:v>Patient voice</x:v>
      </x:c>
      <x:c r="C9" s="28" t="str">
        <x:v>'get enough food to live'</x:v>
      </x:c>
      <x:c r="D9" s="28" t="str">
        <x:v>Inquest reporting of severe ME/CFS patient's request for help.</x:v>
      </x:c>
      <x:c r="E9" s="28" t="str">
        <x:v>https://www.theguardian.com/society/article/2024/jul/22/devon-woman-with-me-asked-gp-to-help-her-get-enough-food-to-live-inquest-hears</x:v>
      </x:c>
    </x:row>
    <x:row r="10">
      <x:c r="A10" s="28" t="str">
        <x:v>B-022</x:v>
      </x:c>
      <x:c r="B10" s="28" t="str">
        <x:v>Clinician voice</x:v>
      </x:c>
      <x:c r="C10" s="28" t="str">
        <x:v>'We needed help. We all needed help.'</x:v>
      </x:c>
      <x:c r="D10" s="28" t="str">
        <x:v>Clinician witness quote in inquest reporting.</x:v>
      </x:c>
      <x:c r="E10" s="28" t="str">
        <x:v>https://www.theguardian.com/society/article/2024/jul/22/devon-woman-with-me-asked-gp-to-help-her-get-enough-food-to-live-inquest-hears</x:v>
      </x:c>
    </x:row>
    <x:row r="11">
      <x:c r="A11" s="28" t="str">
        <x:v>B-023</x:v>
      </x:c>
      <x:c r="B11" s="28" t="str">
        <x:v>Patient voice</x:v>
      </x:c>
      <x:c r="C11" s="28" t="str">
        <x:v>anxiety was used against her</x:v>
      </x:c>
      <x:c r="D11" s="28" t="str">
        <x:v>Patient essay describing lupus diagnostic delay.</x:v>
      </x:c>
      <x:c r="E11" s="28" t="str">
        <x:v>https://www.popsugar.com/health/how-i-got-my-lupus-diagnosis-personal-essay-49345999</x:v>
      </x:c>
    </x:row>
    <x:row r="12">
      <x:c r="A12" s="33"/>
      <x:c r="B12" s="33"/>
      <x:c r="C12" s="33"/>
      <x:c r="D12" s="33"/>
      <x:c r="E12" s="33"/>
    </x:row>
    <x:row r="13">
      <x:c r="A13" s="33"/>
      <x:c r="B13" s="33"/>
      <x:c r="C13" s="33"/>
      <x:c r="D13" s="33"/>
      <x:c r="E13" s="33"/>
    </x:row>
    <x:row r="14">
      <x:c r="A14" s="33"/>
      <x:c r="B14" s="33"/>
      <x:c r="C14" s="33"/>
      <x:c r="D14" s="33"/>
      <x:c r="E14" s="33"/>
    </x:row>
    <x:row r="15">
      <x:c r="A15" s="33"/>
      <x:c r="B15" s="33"/>
      <x:c r="C15" s="33"/>
      <x:c r="D15" s="33"/>
      <x:c r="E15" s="33"/>
    </x:row>
    <x:row r="16">
      <x:c r="A16" s="33"/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  <x:row r="19">
      <x:c r="A19" s="33"/>
      <x:c r="B19" s="33"/>
      <x:c r="C19" s="33"/>
      <x:c r="D19" s="33"/>
      <x:c r="E19" s="33"/>
    </x:row>
    <x:row r="20">
      <x:c r="A20" s="33"/>
      <x:c r="B20" s="33"/>
      <x:c r="C20" s="33"/>
      <x:c r="D20" s="33"/>
      <x:c r="E20" s="33"/>
    </x:row>
    <x:row r="21">
      <x:c r="A21" s="33"/>
      <x:c r="B21" s="33"/>
      <x:c r="C21" s="33"/>
      <x:c r="D21" s="33"/>
      <x:c r="E21" s="33"/>
    </x:row>
    <x:row r="22">
      <x:c r="A22" s="33"/>
      <x:c r="B22" s="33"/>
      <x:c r="C22" s="33"/>
      <x:c r="D22" s="33"/>
      <x:c r="E22" s="33"/>
    </x:row>
    <x:row r="23">
      <x:c r="A23" s="33"/>
      <x:c r="B23" s="33"/>
      <x:c r="C23" s="33"/>
      <x:c r="D23" s="33"/>
      <x:c r="E23" s="33"/>
    </x:row>
    <x:row r="24">
      <x:c r="A24" s="33"/>
      <x:c r="B24" s="33"/>
      <x:c r="C24" s="33"/>
      <x:c r="D24" s="33"/>
      <x:c r="E24" s="33"/>
    </x:row>
    <x:row r="25">
      <x:c r="A25" s="33"/>
      <x:c r="B25" s="33"/>
      <x:c r="C25" s="33"/>
      <x:c r="D25" s="33"/>
      <x:c r="E25" s="33"/>
    </x:row>
    <x:row r="26">
      <x:c r="A26" s="33"/>
      <x:c r="B26" s="33"/>
      <x:c r="C26" s="33"/>
      <x:c r="D26" s="33"/>
      <x:c r="E26" s="33"/>
    </x:row>
    <x:row r="27">
      <x:c r="A27" s="33"/>
      <x:c r="B27" s="33"/>
      <x:c r="C27" s="33"/>
      <x:c r="D27" s="33"/>
      <x:c r="E27" s="33"/>
    </x:row>
    <x:row r="28">
      <x:c r="A28" s="33"/>
      <x:c r="B28" s="33"/>
      <x:c r="C28" s="33"/>
      <x:c r="D28" s="33"/>
      <x:c r="E28" s="33"/>
    </x:row>
    <x:row r="29">
      <x:c r="A29" s="33"/>
      <x:c r="B29" s="33"/>
      <x:c r="C29" s="33"/>
      <x:c r="D29" s="33"/>
      <x:c r="E29" s="33"/>
    </x:row>
    <x:row r="30">
      <x:c r="A30" s="33"/>
      <x:c r="B30" s="33"/>
      <x:c r="C30" s="33"/>
      <x:c r="D30" s="33"/>
      <x:c r="E30" s="33"/>
    </x:row>
    <x:row r="31">
      <x:c r="A31" s="33"/>
      <x:c r="B31" s="33"/>
      <x:c r="C31" s="33"/>
      <x:c r="D31" s="33"/>
      <x:c r="E31" s="33"/>
    </x:row>
    <x:row r="32">
      <x:c r="A32" s="33"/>
      <x:c r="B32" s="33"/>
      <x:c r="C32" s="33"/>
      <x:c r="D32" s="33"/>
      <x:c r="E32" s="33"/>
    </x:row>
    <x:row r="33">
      <x:c r="A33" s="33"/>
      <x:c r="B33" s="33"/>
      <x:c r="C33" s="33"/>
      <x:c r="D33" s="33"/>
      <x:c r="E33" s="33"/>
    </x:row>
    <x:row r="34">
      <x:c r="A34" s="33"/>
      <x:c r="B34" s="33"/>
      <x:c r="C34" s="33"/>
      <x:c r="D34" s="33"/>
      <x:c r="E34" s="33"/>
    </x:row>
    <x:row r="35">
      <x:c r="A35" s="33"/>
      <x:c r="B35" s="33"/>
      <x:c r="C35" s="33"/>
      <x:c r="D35" s="33"/>
      <x:c r="E35" s="33"/>
    </x:row>
    <x:row r="36">
      <x:c r="A36" s="33"/>
      <x:c r="B36" s="33"/>
      <x:c r="C36" s="33"/>
      <x:c r="D36" s="33"/>
      <x:c r="E36" s="33"/>
    </x:row>
    <x:row r="37">
      <x:c r="A37" s="33"/>
      <x:c r="B37" s="33"/>
      <x:c r="C37" s="33"/>
      <x:c r="D37" s="33"/>
      <x:c r="E37" s="33"/>
    </x:row>
    <x:row r="38">
      <x:c r="A38" s="33"/>
      <x:c r="B38" s="33"/>
      <x:c r="C38" s="33"/>
      <x:c r="D38" s="33"/>
      <x:c r="E38" s="33"/>
    </x:row>
    <x:row r="39">
      <x:c r="A39" s="33"/>
      <x:c r="B39" s="33"/>
      <x:c r="C39" s="33"/>
      <x:c r="D39" s="33"/>
      <x:c r="E39" s="33"/>
    </x:row>
    <x:row r="40">
      <x:c r="A40" s="33"/>
      <x:c r="B40" s="33"/>
      <x:c r="C40" s="33"/>
      <x:c r="D40" s="33"/>
      <x:c r="E40" s="33"/>
    </x:row>
    <x:row r="41">
      <x:c r="A41" s="33"/>
      <x:c r="B41" s="33"/>
      <x:c r="C41" s="33"/>
      <x:c r="D41" s="33"/>
      <x:c r="E41" s="33"/>
    </x:row>
    <x:row r="42">
      <x:c r="A42" s="33"/>
      <x:c r="B42" s="33"/>
      <x:c r="C42" s="33"/>
      <x:c r="D42" s="33"/>
      <x:c r="E42" s="33"/>
    </x:row>
    <x:row r="43">
      <x:c r="A43" s="33"/>
      <x:c r="B43" s="33"/>
      <x:c r="C43" s="33"/>
      <x:c r="D43" s="33"/>
      <x:c r="E43" s="33"/>
    </x:row>
    <x:row r="44">
      <x:c r="A44" s="33"/>
      <x:c r="B44" s="33"/>
      <x:c r="C44" s="33"/>
      <x:c r="D44" s="33"/>
      <x:c r="E44" s="33"/>
    </x:row>
    <x:row r="45">
      <x:c r="A45" s="33"/>
      <x:c r="B45" s="33"/>
      <x:c r="C45" s="33"/>
      <x:c r="D45" s="33"/>
      <x:c r="E45" s="33"/>
    </x:row>
    <x:row r="46">
      <x:c r="A46" s="33"/>
      <x:c r="B46" s="33"/>
      <x:c r="C46" s="33"/>
      <x:c r="D46" s="33"/>
      <x:c r="E46" s="33"/>
    </x:row>
    <x:row r="47">
      <x:c r="A47" s="33"/>
      <x:c r="B47" s="33"/>
      <x:c r="C47" s="33"/>
      <x:c r="D47" s="33"/>
      <x:c r="E47" s="33"/>
    </x:row>
    <x:row r="48">
      <x:c r="A48" s="33"/>
      <x:c r="B48" s="33"/>
      <x:c r="C48" s="33"/>
      <x:c r="D48" s="33"/>
      <x:c r="E48" s="33"/>
    </x:row>
    <x:row r="49">
      <x:c r="A49" s="33"/>
      <x:c r="B49" s="33"/>
      <x:c r="C49" s="33"/>
      <x:c r="D49" s="33"/>
      <x:c r="E49" s="33"/>
    </x:row>
    <x:row r="50">
      <x:c r="A50" s="33"/>
      <x:c r="B50" s="33"/>
      <x:c r="C50" s="33"/>
      <x:c r="D50" s="33"/>
      <x:c r="E50" s="33"/>
    </x:row>
    <x:row r="51">
      <x:c r="A51" s="33"/>
      <x:c r="B51" s="33"/>
      <x:c r="C51" s="33"/>
      <x:c r="D51" s="33"/>
      <x:c r="E51" s="33"/>
    </x:row>
    <x:row r="52">
      <x:c r="A52" s="33"/>
      <x:c r="B52" s="33"/>
      <x:c r="C52" s="33"/>
      <x:c r="D52" s="33"/>
      <x:c r="E52" s="33"/>
    </x:row>
    <x:row r="53">
      <x:c r="A53" s="33"/>
      <x:c r="B53" s="33"/>
      <x:c r="C53" s="33"/>
      <x:c r="D53" s="33"/>
      <x:c r="E53" s="33"/>
    </x:row>
    <x:row r="54">
      <x:c r="A54" s="33"/>
      <x:c r="B54" s="33"/>
      <x:c r="C54" s="33"/>
      <x:c r="D54" s="33"/>
      <x:c r="E54" s="33"/>
    </x:row>
    <x:row r="55">
      <x:c r="A55" s="33"/>
      <x:c r="B55" s="33"/>
      <x:c r="C55" s="33"/>
      <x:c r="D55" s="33"/>
      <x:c r="E55" s="33"/>
    </x:row>
    <x:row r="56">
      <x:c r="A56" s="33"/>
      <x:c r="B56" s="33"/>
      <x:c r="C56" s="33"/>
      <x:c r="D56" s="33"/>
      <x:c r="E56" s="33"/>
    </x:row>
    <x:row r="57">
      <x:c r="A57" s="33"/>
      <x:c r="B57" s="33"/>
      <x:c r="C57" s="33"/>
      <x:c r="D57" s="33"/>
      <x:c r="E57" s="33"/>
    </x:row>
    <x:row r="58">
      <x:c r="A58" s="33"/>
      <x:c r="B58" s="33"/>
      <x:c r="C58" s="33"/>
      <x:c r="D58" s="33"/>
      <x:c r="E58" s="33"/>
    </x:row>
    <x:row r="59">
      <x:c r="A59" s="33"/>
      <x:c r="B59" s="33"/>
      <x:c r="C59" s="33"/>
      <x:c r="D59" s="33"/>
      <x:c r="E59" s="33"/>
    </x:row>
    <x:row r="60">
      <x:c r="A60" s="33"/>
      <x:c r="B60" s="33"/>
      <x:c r="C60" s="33"/>
      <x:c r="D60" s="33"/>
      <x:c r="E60" s="33"/>
    </x:row>
    <x:row r="61">
      <x:c r="A61" s="33"/>
      <x:c r="B61" s="33"/>
      <x:c r="C61" s="33"/>
      <x:c r="D61" s="33"/>
      <x:c r="E61" s="33"/>
    </x:row>
    <x:row r="62">
      <x:c r="A62" s="33"/>
      <x:c r="B62" s="33"/>
      <x:c r="C62" s="33"/>
      <x:c r="D62" s="33"/>
      <x:c r="E62" s="33"/>
    </x:row>
    <x:row r="63">
      <x:c r="A63" s="33"/>
      <x:c r="B63" s="33"/>
      <x:c r="C63" s="33"/>
      <x:c r="D63" s="33"/>
      <x:c r="E63" s="33"/>
    </x:row>
    <x:row r="64">
      <x:c r="A64" s="33"/>
      <x:c r="B64" s="33"/>
      <x:c r="C64" s="33"/>
      <x:c r="D64" s="33"/>
      <x:c r="E64" s="33"/>
    </x:row>
    <x:row r="65">
      <x:c r="A65" s="33"/>
      <x:c r="B65" s="33"/>
      <x:c r="C65" s="33"/>
      <x:c r="D65" s="33"/>
      <x:c r="E65" s="33"/>
    </x:row>
    <x:row r="66">
      <x:c r="A66" s="33"/>
      <x:c r="B66" s="33"/>
      <x:c r="C66" s="33"/>
      <x:c r="D66" s="33"/>
      <x:c r="E66" s="33"/>
    </x:row>
    <x:row r="67">
      <x:c r="A67" s="33"/>
      <x:c r="B67" s="33"/>
      <x:c r="C67" s="33"/>
      <x:c r="D67" s="33"/>
      <x:c r="E67" s="33"/>
    </x:row>
    <x:row r="68">
      <x:c r="A68" s="33"/>
      <x:c r="B68" s="33"/>
      <x:c r="C68" s="33"/>
      <x:c r="D68" s="33"/>
      <x:c r="E68" s="33"/>
    </x:row>
    <x:row r="69">
      <x:c r="A69" s="33"/>
      <x:c r="B69" s="33"/>
      <x:c r="C69" s="33"/>
      <x:c r="D69" s="33"/>
      <x:c r="E69" s="33"/>
    </x:row>
    <x:row r="70">
      <x:c r="A70" s="33"/>
      <x:c r="B70" s="33"/>
      <x:c r="C70" s="33"/>
      <x:c r="D70" s="33"/>
      <x:c r="E70" s="33"/>
    </x:row>
    <x:row r="71">
      <x:c r="A71" s="33"/>
      <x:c r="B71" s="33"/>
      <x:c r="C71" s="33"/>
      <x:c r="D71" s="33"/>
      <x:c r="E71" s="33"/>
    </x:row>
    <x:row r="72">
      <x:c r="A72" s="33"/>
      <x:c r="B72" s="33"/>
      <x:c r="C72" s="33"/>
      <x:c r="D72" s="33"/>
      <x:c r="E72" s="33"/>
    </x:row>
    <x:row r="73">
      <x:c r="A73" s="33"/>
      <x:c r="B73" s="33"/>
      <x:c r="C73" s="33"/>
      <x:c r="D73" s="33"/>
      <x:c r="E73" s="33"/>
    </x:row>
    <x:row r="74">
      <x:c r="A74" s="33"/>
      <x:c r="B74" s="33"/>
      <x:c r="C74" s="33"/>
      <x:c r="D74" s="33"/>
      <x:c r="E74" s="33"/>
    </x:row>
    <x:row r="75">
      <x:c r="A75" s="33"/>
      <x:c r="B75" s="33"/>
      <x:c r="C75" s="33"/>
      <x:c r="D75" s="33"/>
      <x:c r="E75" s="33"/>
    </x:row>
    <x:row r="76">
      <x:c r="A76" s="33"/>
      <x:c r="B76" s="33"/>
      <x:c r="C76" s="33"/>
      <x:c r="D76" s="33"/>
      <x:c r="E76" s="33"/>
    </x:row>
    <x:row r="77">
      <x:c r="A77" s="33"/>
      <x:c r="B77" s="33"/>
      <x:c r="C77" s="33"/>
      <x:c r="D77" s="33"/>
      <x:c r="E77" s="33"/>
    </x:row>
    <x:row r="78">
      <x:c r="A78" s="33"/>
      <x:c r="B78" s="33"/>
      <x:c r="C78" s="33"/>
      <x:c r="D78" s="33"/>
      <x:c r="E78" s="33"/>
    </x:row>
    <x:row r="79">
      <x:c r="A79" s="33"/>
      <x:c r="B79" s="33"/>
      <x:c r="C79" s="33"/>
      <x:c r="D79" s="33"/>
      <x:c r="E79" s="33"/>
    </x:row>
    <x:row r="80">
      <x:c r="A80" s="33"/>
      <x:c r="B80" s="33"/>
      <x:c r="C80" s="33"/>
      <x:c r="D80" s="33"/>
      <x:c r="E80" s="3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28dcfe537d4461"/>
  </x:tableParts>
</x:worksheet>
</file>